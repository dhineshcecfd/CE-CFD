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DieseArbeitsmappe" checkCompatibility="1" defaultThemeVersion="124226"/>
  <mc:AlternateContent xmlns:mc="http://schemas.openxmlformats.org/markup-compatibility/2006">
    <mc:Choice Requires="x15">
      <x15ac:absPath xmlns:x15ac="http://schemas.microsoft.com/office/spreadsheetml/2010/11/ac" url="E:\Git_upload\Hiwi\"/>
    </mc:Choice>
  </mc:AlternateContent>
  <bookViews>
    <workbookView xWindow="0" yWindow="0" windowWidth="19200" windowHeight="6950" tabRatio="680" activeTab="7"/>
  </bookViews>
  <sheets>
    <sheet name="Start&amp;Help" sheetId="3" r:id="rId1"/>
    <sheet name="Jan 16" sheetId="1" r:id="rId2"/>
    <sheet name="Feb 16" sheetId="8" r:id="rId3"/>
    <sheet name="March 16" sheetId="9" r:id="rId4"/>
    <sheet name="April 16" sheetId="10" r:id="rId5"/>
    <sheet name="May 16" sheetId="11" r:id="rId6"/>
    <sheet name="June 16" sheetId="12" r:id="rId7"/>
    <sheet name="July 16" sheetId="16" r:id="rId8"/>
    <sheet name="Aug 16" sheetId="13" r:id="rId9"/>
    <sheet name="Sept 16" sheetId="14" r:id="rId10"/>
    <sheet name="Oct 16" sheetId="15" r:id="rId11"/>
    <sheet name="Nov 16" sheetId="17" r:id="rId12"/>
    <sheet name="Dec 16" sheetId="18" r:id="rId13"/>
    <sheet name="Holidays" sheetId="2" r:id="rId14"/>
    <sheet name="Example" sheetId="4" r:id="rId15"/>
  </sheets>
  <definedNames>
    <definedName name="_xlnm.Print_Area" localSheetId="4">'April 16'!$A$1:$P$68</definedName>
    <definedName name="_xlnm.Print_Area" localSheetId="8">'Aug 16'!$A$1:$P$68</definedName>
    <definedName name="_xlnm.Print_Area" localSheetId="12">'Dec 16'!$A$1:$P$68</definedName>
    <definedName name="_xlnm.Print_Area" localSheetId="14">Example!$A$1:$M$28</definedName>
    <definedName name="_xlnm.Print_Area" localSheetId="2">'Feb 16'!$A$1:$P$68</definedName>
    <definedName name="_xlnm.Print_Area" localSheetId="1">'Jan 16'!$A$1:$P$68</definedName>
    <definedName name="_xlnm.Print_Area" localSheetId="7">'July 16'!$A$1:$P$68</definedName>
    <definedName name="_xlnm.Print_Area" localSheetId="6">'June 16'!$A$1:$P$68</definedName>
    <definedName name="_xlnm.Print_Area" localSheetId="3">'March 16'!$A$1:$P$68</definedName>
    <definedName name="_xlnm.Print_Area" localSheetId="5">'May 16'!$A$1:$P$68</definedName>
    <definedName name="_xlnm.Print_Area" localSheetId="11">'Nov 16'!$A$1:$P$68</definedName>
    <definedName name="_xlnm.Print_Area" localSheetId="10">'Oct 16'!$A$1:$P$68</definedName>
    <definedName name="_xlnm.Print_Area" localSheetId="9">'Sept 16'!$A$1:$P$68</definedName>
    <definedName name="_xlnm.Print_Area" localSheetId="0">'Start&amp;Help'!$A$1:$M$36</definedName>
  </definedNames>
  <calcPr calcId="171027"/>
</workbook>
</file>

<file path=xl/calcChain.xml><?xml version="1.0" encoding="utf-8"?>
<calcChain xmlns="http://schemas.openxmlformats.org/spreadsheetml/2006/main">
  <c r="C41" i="8" l="1"/>
  <c r="C42" i="8"/>
  <c r="C43" i="8"/>
  <c r="C44" i="8"/>
  <c r="C40" i="8"/>
  <c r="C39" i="8"/>
  <c r="C38" i="8"/>
  <c r="C37" i="8"/>
  <c r="C36" i="8"/>
  <c r="C35" i="8"/>
  <c r="C34" i="8"/>
  <c r="C33" i="8"/>
  <c r="C32" i="8"/>
  <c r="C31" i="8"/>
  <c r="C30" i="8"/>
  <c r="C29" i="8"/>
  <c r="C28" i="8"/>
  <c r="C27" i="8"/>
  <c r="C26" i="8"/>
  <c r="C25" i="8"/>
  <c r="C24" i="8"/>
  <c r="C23" i="8"/>
  <c r="C22" i="8"/>
  <c r="C21" i="8"/>
  <c r="C20" i="8"/>
  <c r="C19" i="8"/>
  <c r="C18" i="8"/>
  <c r="C17" i="8"/>
  <c r="C16" i="8"/>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K56" i="10"/>
  <c r="K57" i="10" s="1"/>
  <c r="K58" i="10" s="1"/>
  <c r="K59" i="10" s="1"/>
  <c r="K56" i="9"/>
  <c r="K57" i="1"/>
  <c r="K58" i="1" s="1"/>
  <c r="J31" i="3"/>
  <c r="J30" i="3"/>
  <c r="J29" i="3"/>
  <c r="H29" i="3"/>
  <c r="H30" i="3" s="1"/>
  <c r="H31" i="3" s="1"/>
  <c r="J28" i="3"/>
  <c r="J27" i="3"/>
  <c r="J32" i="3" l="1"/>
  <c r="K57" i="9"/>
  <c r="K59" i="1"/>
  <c r="K23" i="18"/>
  <c r="K23" i="17"/>
  <c r="K23" i="15"/>
  <c r="K23" i="14"/>
  <c r="K23" i="13"/>
  <c r="K23" i="16"/>
  <c r="K23" i="12"/>
  <c r="K23" i="11"/>
  <c r="K23" i="10"/>
  <c r="K23" i="9"/>
  <c r="K23" i="8"/>
  <c r="K23" i="1"/>
  <c r="K58" i="9" l="1"/>
  <c r="K50" i="9"/>
  <c r="K49" i="9"/>
  <c r="K48" i="9"/>
  <c r="K47" i="9"/>
  <c r="K46" i="9"/>
  <c r="K45" i="9"/>
  <c r="K44" i="9"/>
  <c r="K43" i="9"/>
  <c r="K42" i="9"/>
  <c r="K41" i="9"/>
  <c r="K40" i="9"/>
  <c r="K39" i="9"/>
  <c r="K38" i="9"/>
  <c r="K37" i="9"/>
  <c r="K36" i="9"/>
  <c r="K35" i="9"/>
  <c r="K34" i="9"/>
  <c r="K33" i="9"/>
  <c r="K32" i="9"/>
  <c r="K31" i="9"/>
  <c r="K30" i="9"/>
  <c r="K29" i="9"/>
  <c r="K28" i="9"/>
  <c r="K27" i="9"/>
  <c r="K26" i="9"/>
  <c r="K25" i="9"/>
  <c r="K24" i="9"/>
  <c r="K22" i="9"/>
  <c r="K21" i="9"/>
  <c r="K20" i="9"/>
  <c r="K19" i="9"/>
  <c r="K18" i="9"/>
  <c r="K17" i="9"/>
  <c r="K16" i="9"/>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2" i="10"/>
  <c r="K21" i="10"/>
  <c r="K20" i="10"/>
  <c r="K19" i="10"/>
  <c r="K18" i="10"/>
  <c r="K17" i="10"/>
  <c r="K16" i="10"/>
  <c r="K50" i="11"/>
  <c r="K49" i="11"/>
  <c r="K48" i="11"/>
  <c r="K47" i="11"/>
  <c r="K46" i="11"/>
  <c r="K45" i="11"/>
  <c r="K44" i="11"/>
  <c r="K43" i="11"/>
  <c r="K42" i="11"/>
  <c r="K41" i="11"/>
  <c r="K40" i="11"/>
  <c r="K39" i="11"/>
  <c r="K38" i="11"/>
  <c r="K37" i="11"/>
  <c r="K36" i="11"/>
  <c r="K35" i="11"/>
  <c r="K34" i="11"/>
  <c r="K33" i="11"/>
  <c r="K32" i="11"/>
  <c r="K31" i="11"/>
  <c r="K30" i="11"/>
  <c r="K29" i="11"/>
  <c r="K28" i="11"/>
  <c r="K27" i="11"/>
  <c r="K26" i="11"/>
  <c r="K25" i="11"/>
  <c r="K24" i="11"/>
  <c r="K22" i="11"/>
  <c r="K21" i="11"/>
  <c r="K20" i="11"/>
  <c r="K19" i="11"/>
  <c r="K18" i="11"/>
  <c r="K17" i="11"/>
  <c r="K16" i="11"/>
  <c r="K50" i="12"/>
  <c r="K49" i="12"/>
  <c r="K48" i="12"/>
  <c r="K47" i="12"/>
  <c r="K46" i="12"/>
  <c r="K45" i="12"/>
  <c r="K44" i="12"/>
  <c r="K43" i="12"/>
  <c r="K42" i="12"/>
  <c r="K41" i="12"/>
  <c r="K40" i="12"/>
  <c r="K39" i="12"/>
  <c r="K38" i="12"/>
  <c r="K37" i="12"/>
  <c r="K36" i="12"/>
  <c r="K35" i="12"/>
  <c r="K34" i="12"/>
  <c r="K33" i="12"/>
  <c r="K32" i="12"/>
  <c r="K31" i="12"/>
  <c r="K30" i="12"/>
  <c r="K29" i="12"/>
  <c r="K28" i="12"/>
  <c r="K27" i="12"/>
  <c r="K26" i="12"/>
  <c r="K25" i="12"/>
  <c r="K24" i="12"/>
  <c r="K22" i="12"/>
  <c r="K21" i="12"/>
  <c r="K20" i="12"/>
  <c r="K19" i="12"/>
  <c r="K18" i="12"/>
  <c r="K17" i="12"/>
  <c r="K16" i="12"/>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2" i="16"/>
  <c r="K21" i="16"/>
  <c r="K20" i="16"/>
  <c r="K19" i="16"/>
  <c r="K18" i="16"/>
  <c r="K17" i="16"/>
  <c r="K16" i="16"/>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2" i="13"/>
  <c r="K21" i="13"/>
  <c r="K20" i="13"/>
  <c r="K19" i="13"/>
  <c r="K18" i="13"/>
  <c r="K17" i="13"/>
  <c r="K16" i="13"/>
  <c r="K50" i="14"/>
  <c r="K49" i="14"/>
  <c r="K48" i="14"/>
  <c r="K47" i="14"/>
  <c r="K46" i="14"/>
  <c r="K45" i="14"/>
  <c r="K44" i="14"/>
  <c r="K43" i="14"/>
  <c r="K42" i="14"/>
  <c r="K41" i="14"/>
  <c r="K40" i="14"/>
  <c r="K39" i="14"/>
  <c r="K38" i="14"/>
  <c r="K37" i="14"/>
  <c r="K36" i="14"/>
  <c r="K35" i="14"/>
  <c r="K34" i="14"/>
  <c r="K33" i="14"/>
  <c r="K32" i="14"/>
  <c r="K31" i="14"/>
  <c r="K30" i="14"/>
  <c r="K29" i="14"/>
  <c r="K28" i="14"/>
  <c r="K27" i="14"/>
  <c r="K26" i="14"/>
  <c r="K25" i="14"/>
  <c r="K24" i="14"/>
  <c r="K22" i="14"/>
  <c r="K21" i="14"/>
  <c r="K20" i="14"/>
  <c r="K19" i="14"/>
  <c r="K18" i="14"/>
  <c r="K17" i="14"/>
  <c r="K16" i="14"/>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2" i="15"/>
  <c r="K21" i="15"/>
  <c r="K20" i="15"/>
  <c r="K19" i="15"/>
  <c r="K18" i="15"/>
  <c r="K17" i="15"/>
  <c r="K16" i="15"/>
  <c r="K50" i="17"/>
  <c r="K49" i="17"/>
  <c r="K48" i="17"/>
  <c r="K47" i="17"/>
  <c r="K46" i="17"/>
  <c r="K45" i="17"/>
  <c r="K44" i="17"/>
  <c r="K43" i="17"/>
  <c r="K42" i="17"/>
  <c r="K41" i="17"/>
  <c r="K40" i="17"/>
  <c r="K39" i="17"/>
  <c r="K38" i="17"/>
  <c r="K37" i="17"/>
  <c r="K36" i="17"/>
  <c r="K35" i="17"/>
  <c r="K34" i="17"/>
  <c r="K33" i="17"/>
  <c r="K32" i="17"/>
  <c r="K31" i="17"/>
  <c r="K30" i="17"/>
  <c r="K29" i="17"/>
  <c r="K28" i="17"/>
  <c r="K27" i="17"/>
  <c r="K26" i="17"/>
  <c r="K25" i="17"/>
  <c r="K24" i="17"/>
  <c r="K22" i="17"/>
  <c r="K21" i="17"/>
  <c r="K20" i="17"/>
  <c r="K19" i="17"/>
  <c r="K18" i="17"/>
  <c r="K17" i="17"/>
  <c r="K16" i="17"/>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2" i="18"/>
  <c r="K21" i="18"/>
  <c r="K20" i="18"/>
  <c r="K19" i="18"/>
  <c r="K18" i="18"/>
  <c r="K17" i="18"/>
  <c r="K16" i="18"/>
  <c r="K50" i="8"/>
  <c r="K49" i="8"/>
  <c r="K48" i="8"/>
  <c r="K47" i="8"/>
  <c r="K46" i="8"/>
  <c r="K45" i="8"/>
  <c r="K44" i="8"/>
  <c r="K43" i="8"/>
  <c r="K42" i="8"/>
  <c r="K41" i="8"/>
  <c r="K40" i="8"/>
  <c r="K39" i="8"/>
  <c r="K38" i="8"/>
  <c r="K37" i="8"/>
  <c r="K36" i="8"/>
  <c r="K35" i="8"/>
  <c r="K34" i="8"/>
  <c r="K33" i="8"/>
  <c r="K32" i="8"/>
  <c r="K31" i="8"/>
  <c r="K30" i="8"/>
  <c r="K29" i="8"/>
  <c r="K28" i="8"/>
  <c r="K27" i="8"/>
  <c r="K26" i="8"/>
  <c r="K25" i="8"/>
  <c r="K24" i="8"/>
  <c r="K22" i="8"/>
  <c r="K21" i="8"/>
  <c r="K20" i="8"/>
  <c r="K19" i="8"/>
  <c r="K18" i="8"/>
  <c r="K17" i="8"/>
  <c r="K16" i="8"/>
  <c r="H50" i="9"/>
  <c r="H49" i="9"/>
  <c r="O49" i="9" s="1"/>
  <c r="H48" i="9"/>
  <c r="H47" i="9"/>
  <c r="H46" i="9"/>
  <c r="H45" i="9"/>
  <c r="H44" i="9"/>
  <c r="H43" i="9"/>
  <c r="H42" i="9"/>
  <c r="H41" i="9"/>
  <c r="H40" i="9"/>
  <c r="H39" i="9"/>
  <c r="H38" i="9"/>
  <c r="H37" i="9"/>
  <c r="H36" i="9"/>
  <c r="O36" i="9" s="1"/>
  <c r="H35" i="9"/>
  <c r="H34" i="9"/>
  <c r="H33" i="9"/>
  <c r="H32" i="9"/>
  <c r="H31" i="9"/>
  <c r="H30" i="9"/>
  <c r="H29" i="9"/>
  <c r="O29" i="9" s="1"/>
  <c r="H28" i="9"/>
  <c r="O28" i="9" s="1"/>
  <c r="H27" i="9"/>
  <c r="H26" i="9"/>
  <c r="H25" i="9"/>
  <c r="H24" i="9"/>
  <c r="H22" i="9"/>
  <c r="H21" i="9"/>
  <c r="H20" i="9"/>
  <c r="H19" i="9"/>
  <c r="H18" i="9"/>
  <c r="H17" i="9"/>
  <c r="H16" i="9"/>
  <c r="H50" i="10"/>
  <c r="O50" i="10" s="1"/>
  <c r="H49" i="10"/>
  <c r="H48" i="10"/>
  <c r="H47" i="10"/>
  <c r="H46" i="10"/>
  <c r="H45" i="10"/>
  <c r="H44" i="10"/>
  <c r="H43" i="10"/>
  <c r="O43" i="10" s="1"/>
  <c r="H42" i="10"/>
  <c r="O42" i="10" s="1"/>
  <c r="H41" i="10"/>
  <c r="H40" i="10"/>
  <c r="H39" i="10"/>
  <c r="H38" i="10"/>
  <c r="H37" i="10"/>
  <c r="H36" i="10"/>
  <c r="H35" i="10"/>
  <c r="O35" i="10" s="1"/>
  <c r="H34" i="10"/>
  <c r="H33" i="10"/>
  <c r="H32" i="10"/>
  <c r="H31" i="10"/>
  <c r="H30" i="10"/>
  <c r="H29" i="10"/>
  <c r="H28" i="10"/>
  <c r="H27" i="10"/>
  <c r="H26" i="10"/>
  <c r="H25" i="10"/>
  <c r="H24" i="10"/>
  <c r="H22" i="10"/>
  <c r="O22" i="10" s="1"/>
  <c r="H21" i="10"/>
  <c r="O21" i="10" s="1"/>
  <c r="H20" i="10"/>
  <c r="H19" i="10"/>
  <c r="H18" i="10"/>
  <c r="H17" i="10"/>
  <c r="H16" i="10"/>
  <c r="H50" i="11"/>
  <c r="H49" i="11"/>
  <c r="O49" i="11" s="1"/>
  <c r="H48" i="11"/>
  <c r="H47" i="11"/>
  <c r="H46" i="11"/>
  <c r="H45" i="11"/>
  <c r="H44" i="11"/>
  <c r="H43" i="11"/>
  <c r="H42" i="11"/>
  <c r="H41" i="11"/>
  <c r="H40" i="11"/>
  <c r="H39" i="11"/>
  <c r="H38" i="11"/>
  <c r="H37" i="11"/>
  <c r="H36" i="11"/>
  <c r="O36" i="11" s="1"/>
  <c r="H35" i="11"/>
  <c r="H34" i="11"/>
  <c r="H33" i="11"/>
  <c r="H32" i="11"/>
  <c r="H31" i="11"/>
  <c r="H30" i="11"/>
  <c r="H29" i="11"/>
  <c r="O29" i="11" s="1"/>
  <c r="H28" i="11"/>
  <c r="O28" i="11" s="1"/>
  <c r="H27" i="11"/>
  <c r="H26" i="11"/>
  <c r="H25" i="11"/>
  <c r="H24" i="11"/>
  <c r="H22" i="11"/>
  <c r="H21" i="11"/>
  <c r="H20" i="11"/>
  <c r="H19" i="11"/>
  <c r="H18" i="11"/>
  <c r="H17" i="11"/>
  <c r="H16" i="11"/>
  <c r="H50" i="12"/>
  <c r="O50" i="12" s="1"/>
  <c r="H49" i="12"/>
  <c r="H48" i="12"/>
  <c r="H47" i="12"/>
  <c r="H46" i="12"/>
  <c r="H45" i="12"/>
  <c r="H44" i="12"/>
  <c r="H43" i="12"/>
  <c r="O43" i="12" s="1"/>
  <c r="H42" i="12"/>
  <c r="O42" i="12" s="1"/>
  <c r="H41" i="12"/>
  <c r="H40" i="12"/>
  <c r="H39" i="12"/>
  <c r="H38" i="12"/>
  <c r="H37" i="12"/>
  <c r="H36" i="12"/>
  <c r="H35" i="12"/>
  <c r="O35" i="12" s="1"/>
  <c r="H34" i="12"/>
  <c r="H33" i="12"/>
  <c r="H32" i="12"/>
  <c r="H31" i="12"/>
  <c r="H30" i="12"/>
  <c r="H29" i="12"/>
  <c r="H28" i="12"/>
  <c r="H27" i="12"/>
  <c r="H26" i="12"/>
  <c r="H25" i="12"/>
  <c r="H24" i="12"/>
  <c r="H22" i="12"/>
  <c r="O22" i="12" s="1"/>
  <c r="H21" i="12"/>
  <c r="O21" i="12" s="1"/>
  <c r="H20" i="12"/>
  <c r="H19" i="12"/>
  <c r="H18" i="12"/>
  <c r="H17" i="12"/>
  <c r="H16" i="12"/>
  <c r="H50" i="16"/>
  <c r="H49" i="16"/>
  <c r="O49" i="16" s="1"/>
  <c r="H48" i="16"/>
  <c r="H47" i="16"/>
  <c r="H46" i="16"/>
  <c r="H45" i="16"/>
  <c r="H44" i="16"/>
  <c r="H43" i="16"/>
  <c r="H42" i="16"/>
  <c r="H41" i="16"/>
  <c r="H40" i="16"/>
  <c r="H39" i="16"/>
  <c r="H38" i="16"/>
  <c r="H37" i="16"/>
  <c r="H36" i="16"/>
  <c r="O36" i="16" s="1"/>
  <c r="H35" i="16"/>
  <c r="H34" i="16"/>
  <c r="H33" i="16"/>
  <c r="H32" i="16"/>
  <c r="H31" i="16"/>
  <c r="H30" i="16"/>
  <c r="H29" i="16"/>
  <c r="O29" i="16" s="1"/>
  <c r="H28" i="16"/>
  <c r="O28" i="16" s="1"/>
  <c r="H27" i="16"/>
  <c r="H26" i="16"/>
  <c r="H25" i="16"/>
  <c r="H24" i="16"/>
  <c r="H22" i="16"/>
  <c r="H21" i="16"/>
  <c r="H20" i="16"/>
  <c r="H19" i="16"/>
  <c r="H18" i="16"/>
  <c r="H17" i="16"/>
  <c r="H16" i="16"/>
  <c r="L16" i="16" s="1"/>
  <c r="H50" i="13"/>
  <c r="O50" i="13" s="1"/>
  <c r="H49" i="13"/>
  <c r="H48" i="13"/>
  <c r="H47" i="13"/>
  <c r="H46" i="13"/>
  <c r="H45" i="13"/>
  <c r="H44" i="13"/>
  <c r="H43" i="13"/>
  <c r="O43" i="13" s="1"/>
  <c r="H42" i="13"/>
  <c r="O42" i="13" s="1"/>
  <c r="H41" i="13"/>
  <c r="H40" i="13"/>
  <c r="H39" i="13"/>
  <c r="H38" i="13"/>
  <c r="H37" i="13"/>
  <c r="H36" i="13"/>
  <c r="H35" i="13"/>
  <c r="O35" i="13" s="1"/>
  <c r="H34" i="13"/>
  <c r="H33" i="13"/>
  <c r="H32" i="13"/>
  <c r="H31" i="13"/>
  <c r="H30" i="13"/>
  <c r="H29" i="13"/>
  <c r="H28" i="13"/>
  <c r="H27" i="13"/>
  <c r="H26" i="13"/>
  <c r="H25" i="13"/>
  <c r="H24" i="13"/>
  <c r="H22" i="13"/>
  <c r="O22" i="13" s="1"/>
  <c r="H21" i="13"/>
  <c r="O21" i="13" s="1"/>
  <c r="H20" i="13"/>
  <c r="H19" i="13"/>
  <c r="H18" i="13"/>
  <c r="H17" i="13"/>
  <c r="H16" i="13"/>
  <c r="H50" i="14"/>
  <c r="H49" i="14"/>
  <c r="O49" i="14" s="1"/>
  <c r="H48" i="14"/>
  <c r="H47" i="14"/>
  <c r="H46" i="14"/>
  <c r="H45" i="14"/>
  <c r="H44" i="14"/>
  <c r="H43" i="14"/>
  <c r="H42" i="14"/>
  <c r="H41" i="14"/>
  <c r="H40" i="14"/>
  <c r="H39" i="14"/>
  <c r="H38" i="14"/>
  <c r="H37" i="14"/>
  <c r="H36" i="14"/>
  <c r="O36" i="14" s="1"/>
  <c r="H35" i="14"/>
  <c r="H34" i="14"/>
  <c r="H33" i="14"/>
  <c r="H32" i="14"/>
  <c r="H31" i="14"/>
  <c r="H30" i="14"/>
  <c r="H29" i="14"/>
  <c r="O29" i="14" s="1"/>
  <c r="H28" i="14"/>
  <c r="O28" i="14" s="1"/>
  <c r="H27" i="14"/>
  <c r="H26" i="14"/>
  <c r="H25" i="14"/>
  <c r="H24" i="14"/>
  <c r="H22" i="14"/>
  <c r="H21" i="14"/>
  <c r="H20" i="14"/>
  <c r="H19" i="14"/>
  <c r="H18" i="14"/>
  <c r="H17" i="14"/>
  <c r="H16" i="14"/>
  <c r="H50" i="15"/>
  <c r="O50" i="15" s="1"/>
  <c r="H49" i="15"/>
  <c r="H48" i="15"/>
  <c r="H47" i="15"/>
  <c r="H46" i="15"/>
  <c r="H45" i="15"/>
  <c r="H44" i="15"/>
  <c r="H43" i="15"/>
  <c r="O43" i="15" s="1"/>
  <c r="H42" i="15"/>
  <c r="O42" i="15" s="1"/>
  <c r="H41" i="15"/>
  <c r="H40" i="15"/>
  <c r="H39" i="15"/>
  <c r="H38" i="15"/>
  <c r="H37" i="15"/>
  <c r="H36" i="15"/>
  <c r="H35" i="15"/>
  <c r="O35" i="15" s="1"/>
  <c r="H34" i="15"/>
  <c r="H33" i="15"/>
  <c r="H32" i="15"/>
  <c r="H31" i="15"/>
  <c r="H30" i="15"/>
  <c r="H29" i="15"/>
  <c r="H28" i="15"/>
  <c r="H27" i="15"/>
  <c r="H26" i="15"/>
  <c r="H25" i="15"/>
  <c r="H24" i="15"/>
  <c r="H22" i="15"/>
  <c r="O22" i="15" s="1"/>
  <c r="H21" i="15"/>
  <c r="O21" i="15" s="1"/>
  <c r="H20" i="15"/>
  <c r="H19" i="15"/>
  <c r="H18" i="15"/>
  <c r="H17" i="15"/>
  <c r="H16" i="15"/>
  <c r="H50" i="17"/>
  <c r="H49" i="17"/>
  <c r="O49" i="17" s="1"/>
  <c r="H48" i="17"/>
  <c r="H47" i="17"/>
  <c r="H46" i="17"/>
  <c r="H45" i="17"/>
  <c r="H44" i="17"/>
  <c r="H43" i="17"/>
  <c r="H42" i="17"/>
  <c r="H41" i="17"/>
  <c r="H40" i="17"/>
  <c r="H39" i="17"/>
  <c r="H38" i="17"/>
  <c r="H37" i="17"/>
  <c r="H36" i="17"/>
  <c r="O36" i="17" s="1"/>
  <c r="H35" i="17"/>
  <c r="H34" i="17"/>
  <c r="H33" i="17"/>
  <c r="H32" i="17"/>
  <c r="H31" i="17"/>
  <c r="H30" i="17"/>
  <c r="H29" i="17"/>
  <c r="O29" i="17" s="1"/>
  <c r="H28" i="17"/>
  <c r="O28" i="17" s="1"/>
  <c r="H27" i="17"/>
  <c r="H26" i="17"/>
  <c r="H25" i="17"/>
  <c r="H24" i="17"/>
  <c r="H22" i="17"/>
  <c r="H21" i="17"/>
  <c r="H20" i="17"/>
  <c r="H19" i="17"/>
  <c r="H18" i="17"/>
  <c r="H17" i="17"/>
  <c r="H16" i="17"/>
  <c r="H50" i="18"/>
  <c r="O50" i="18" s="1"/>
  <c r="H49" i="18"/>
  <c r="H48" i="18"/>
  <c r="H47" i="18"/>
  <c r="H46" i="18"/>
  <c r="H45" i="18"/>
  <c r="H44" i="18"/>
  <c r="H43" i="18"/>
  <c r="O43" i="18" s="1"/>
  <c r="H42" i="18"/>
  <c r="O42" i="18" s="1"/>
  <c r="H41" i="18"/>
  <c r="H40" i="18"/>
  <c r="H39" i="18"/>
  <c r="H38" i="18"/>
  <c r="H37" i="18"/>
  <c r="H36" i="18"/>
  <c r="H35" i="18"/>
  <c r="O35" i="18" s="1"/>
  <c r="H34" i="18"/>
  <c r="H33" i="18"/>
  <c r="H32" i="18"/>
  <c r="H31" i="18"/>
  <c r="H30" i="18"/>
  <c r="H29" i="18"/>
  <c r="H28" i="18"/>
  <c r="H27" i="18"/>
  <c r="H26" i="18"/>
  <c r="H25" i="18"/>
  <c r="H24" i="18"/>
  <c r="H22" i="18"/>
  <c r="O22" i="18" s="1"/>
  <c r="H21" i="18"/>
  <c r="O21" i="18" s="1"/>
  <c r="H20" i="18"/>
  <c r="H19" i="18"/>
  <c r="H18" i="18"/>
  <c r="H17" i="18"/>
  <c r="H16" i="18"/>
  <c r="H50" i="8"/>
  <c r="H49" i="8"/>
  <c r="O49" i="8" s="1"/>
  <c r="H48" i="8"/>
  <c r="H47" i="8"/>
  <c r="H46" i="8"/>
  <c r="H45" i="8"/>
  <c r="H44" i="8"/>
  <c r="H43" i="8"/>
  <c r="H42" i="8"/>
  <c r="H41" i="8"/>
  <c r="H40" i="8"/>
  <c r="H39" i="8"/>
  <c r="H38" i="8"/>
  <c r="H37" i="8"/>
  <c r="H36" i="8"/>
  <c r="O36" i="8" s="1"/>
  <c r="H35" i="8"/>
  <c r="H34" i="8"/>
  <c r="H33" i="8"/>
  <c r="H32" i="8"/>
  <c r="H31" i="8"/>
  <c r="H30" i="8"/>
  <c r="H29" i="8"/>
  <c r="O29" i="8" s="1"/>
  <c r="H28" i="8"/>
  <c r="O28" i="8" s="1"/>
  <c r="H27" i="8"/>
  <c r="H26" i="8"/>
  <c r="H25" i="8"/>
  <c r="H24" i="8"/>
  <c r="H22" i="8"/>
  <c r="H21" i="8"/>
  <c r="H20" i="8"/>
  <c r="H19" i="8"/>
  <c r="H18" i="8"/>
  <c r="H17" i="8"/>
  <c r="H16" i="8"/>
  <c r="M51" i="18"/>
  <c r="K13" i="18" s="1"/>
  <c r="M13" i="18" s="1"/>
  <c r="N50" i="18"/>
  <c r="N24" i="18"/>
  <c r="N23" i="18"/>
  <c r="H23" i="18"/>
  <c r="N22" i="18"/>
  <c r="N21" i="18"/>
  <c r="N20" i="18"/>
  <c r="N19" i="18"/>
  <c r="N18" i="18"/>
  <c r="N17" i="18"/>
  <c r="N16" i="18"/>
  <c r="M51" i="17"/>
  <c r="K13" i="17" s="1"/>
  <c r="M13" i="17" s="1"/>
  <c r="N50" i="17"/>
  <c r="N24" i="17"/>
  <c r="N23" i="17"/>
  <c r="H23" i="17"/>
  <c r="N22" i="17"/>
  <c r="N21" i="17"/>
  <c r="N20" i="17"/>
  <c r="N19" i="17"/>
  <c r="N18" i="17"/>
  <c r="N17" i="17"/>
  <c r="N16" i="17"/>
  <c r="M51" i="16"/>
  <c r="K13" i="16" s="1"/>
  <c r="M13" i="16" s="1"/>
  <c r="N50" i="16"/>
  <c r="N24" i="16"/>
  <c r="N23" i="16"/>
  <c r="H23" i="16"/>
  <c r="N22" i="16"/>
  <c r="N21" i="16"/>
  <c r="N20" i="16"/>
  <c r="N19" i="16"/>
  <c r="N18" i="16"/>
  <c r="N17" i="16"/>
  <c r="N16" i="16"/>
  <c r="L23" i="16" l="1"/>
  <c r="O23" i="16" s="1"/>
  <c r="L23" i="17"/>
  <c r="O23" i="17" s="1"/>
  <c r="L24" i="8"/>
  <c r="O24" i="8" s="1"/>
  <c r="L48" i="8"/>
  <c r="O48" i="8" s="1"/>
  <c r="L30" i="18"/>
  <c r="O30" i="18" s="1"/>
  <c r="L38" i="18"/>
  <c r="O38" i="18" s="1"/>
  <c r="L46" i="18"/>
  <c r="O46" i="18" s="1"/>
  <c r="L24" i="17"/>
  <c r="O24" i="17" s="1"/>
  <c r="L40" i="17"/>
  <c r="O40" i="17" s="1"/>
  <c r="L44" i="17"/>
  <c r="O44" i="17" s="1"/>
  <c r="L34" i="15"/>
  <c r="O34" i="15" s="1"/>
  <c r="L46" i="15"/>
  <c r="O46" i="15" s="1"/>
  <c r="L19" i="14"/>
  <c r="O19" i="14" s="1"/>
  <c r="L24" i="14"/>
  <c r="O24" i="14" s="1"/>
  <c r="L40" i="14"/>
  <c r="O40" i="14" s="1"/>
  <c r="L48" i="14"/>
  <c r="O48" i="14" s="1"/>
  <c r="L17" i="13"/>
  <c r="O17" i="13" s="1"/>
  <c r="L26" i="13"/>
  <c r="O26" i="13" s="1"/>
  <c r="L34" i="13"/>
  <c r="O34" i="13" s="1"/>
  <c r="L46" i="13"/>
  <c r="O46" i="13" s="1"/>
  <c r="L24" i="16"/>
  <c r="O24" i="16" s="1"/>
  <c r="L48" i="16"/>
  <c r="O48" i="16" s="1"/>
  <c r="L17" i="12"/>
  <c r="O17" i="12" s="1"/>
  <c r="L26" i="12"/>
  <c r="O26" i="12" s="1"/>
  <c r="L34" i="12"/>
  <c r="O34" i="12" s="1"/>
  <c r="L46" i="12"/>
  <c r="O46" i="12" s="1"/>
  <c r="L19" i="11"/>
  <c r="O19" i="11" s="1"/>
  <c r="L44" i="11"/>
  <c r="O44" i="11" s="1"/>
  <c r="L17" i="10"/>
  <c r="O17" i="10" s="1"/>
  <c r="L24" i="9"/>
  <c r="O24" i="9" s="1"/>
  <c r="L48" i="9"/>
  <c r="O48" i="9" s="1"/>
  <c r="L16" i="8"/>
  <c r="O16" i="8" s="1"/>
  <c r="L20" i="8"/>
  <c r="O20" i="8" s="1"/>
  <c r="L25" i="8"/>
  <c r="O25" i="8" s="1"/>
  <c r="L33" i="8"/>
  <c r="O33" i="8" s="1"/>
  <c r="L37" i="8"/>
  <c r="O37" i="8" s="1"/>
  <c r="L41" i="8"/>
  <c r="O41" i="8" s="1"/>
  <c r="L45" i="8"/>
  <c r="O45" i="8" s="1"/>
  <c r="L27" i="18"/>
  <c r="O27" i="18" s="1"/>
  <c r="L39" i="18"/>
  <c r="O39" i="18" s="1"/>
  <c r="L47" i="18"/>
  <c r="O47" i="18" s="1"/>
  <c r="L37" i="17"/>
  <c r="O37" i="17" s="1"/>
  <c r="L41" i="17"/>
  <c r="O41" i="17" s="1"/>
  <c r="L45" i="17"/>
  <c r="O45" i="17" s="1"/>
  <c r="L27" i="15"/>
  <c r="O27" i="15" s="1"/>
  <c r="L31" i="15"/>
  <c r="O31" i="15" s="1"/>
  <c r="L39" i="15"/>
  <c r="O39" i="15" s="1"/>
  <c r="L47" i="15"/>
  <c r="O47" i="15" s="1"/>
  <c r="L25" i="14"/>
  <c r="O25" i="14" s="1"/>
  <c r="L33" i="14"/>
  <c r="O33" i="14" s="1"/>
  <c r="L41" i="14"/>
  <c r="O41" i="14" s="1"/>
  <c r="L45" i="14"/>
  <c r="O45" i="14" s="1"/>
  <c r="L39" i="13"/>
  <c r="O39" i="13" s="1"/>
  <c r="L47" i="13"/>
  <c r="O47" i="13" s="1"/>
  <c r="L20" i="16"/>
  <c r="O20" i="16" s="1"/>
  <c r="L37" i="16"/>
  <c r="O37" i="16"/>
  <c r="L41" i="16"/>
  <c r="O41" i="16"/>
  <c r="L45" i="16"/>
  <c r="O45" i="16"/>
  <c r="L27" i="12"/>
  <c r="O27" i="12"/>
  <c r="L39" i="12"/>
  <c r="O39" i="12"/>
  <c r="L47" i="12"/>
  <c r="O47" i="12"/>
  <c r="L20" i="11"/>
  <c r="O20" i="11"/>
  <c r="L33" i="11"/>
  <c r="O33" i="11"/>
  <c r="L37" i="11"/>
  <c r="O37" i="11"/>
  <c r="L41" i="11"/>
  <c r="O41" i="11"/>
  <c r="L45" i="11"/>
  <c r="O45" i="11"/>
  <c r="L18" i="10"/>
  <c r="O18" i="10"/>
  <c r="L27" i="10"/>
  <c r="O27" i="10"/>
  <c r="L39" i="10"/>
  <c r="O39" i="10"/>
  <c r="L47" i="10"/>
  <c r="O47" i="10"/>
  <c r="L16" i="9"/>
  <c r="O16" i="9"/>
  <c r="L20" i="9"/>
  <c r="O20" i="9"/>
  <c r="L33" i="9"/>
  <c r="O33" i="9"/>
  <c r="L37" i="9"/>
  <c r="O37" i="9"/>
  <c r="L41" i="9"/>
  <c r="O41" i="9"/>
  <c r="L45" i="9"/>
  <c r="O45" i="9"/>
  <c r="L17" i="8"/>
  <c r="O17" i="8"/>
  <c r="O21" i="8"/>
  <c r="L26" i="8"/>
  <c r="O26" i="8" s="1"/>
  <c r="L30" i="8"/>
  <c r="O30" i="8" s="1"/>
  <c r="L34" i="8"/>
  <c r="O34" i="8" s="1"/>
  <c r="L38" i="8"/>
  <c r="O38" i="8" s="1"/>
  <c r="O42" i="8"/>
  <c r="L46" i="8"/>
  <c r="O46" i="8"/>
  <c r="O50" i="8"/>
  <c r="L19" i="18"/>
  <c r="O19" i="18" s="1"/>
  <c r="L24" i="18"/>
  <c r="O24" i="18" s="1"/>
  <c r="O28" i="18"/>
  <c r="L32" i="18"/>
  <c r="O32" i="18"/>
  <c r="O36" i="18"/>
  <c r="L40" i="18"/>
  <c r="O40" i="18" s="1"/>
  <c r="L44" i="18"/>
  <c r="O44" i="18" s="1"/>
  <c r="L48" i="18"/>
  <c r="O48" i="18" s="1"/>
  <c r="L17" i="17"/>
  <c r="O17" i="17" s="1"/>
  <c r="O21" i="17"/>
  <c r="L26" i="17"/>
  <c r="O26" i="17"/>
  <c r="L30" i="17"/>
  <c r="O30" i="17"/>
  <c r="L34" i="17"/>
  <c r="O34" i="17"/>
  <c r="L38" i="17"/>
  <c r="O38" i="17"/>
  <c r="O42" i="17"/>
  <c r="L46" i="17"/>
  <c r="O46" i="17" s="1"/>
  <c r="O50" i="17"/>
  <c r="L19" i="15"/>
  <c r="O19" i="15" s="1"/>
  <c r="L24" i="15"/>
  <c r="O24" i="15" s="1"/>
  <c r="O28" i="15"/>
  <c r="L32" i="15"/>
  <c r="O32" i="15" s="1"/>
  <c r="O36" i="15"/>
  <c r="L40" i="15"/>
  <c r="O40" i="15"/>
  <c r="L44" i="15"/>
  <c r="O44" i="15"/>
  <c r="L59" i="15" s="1"/>
  <c r="M59" i="15" s="1"/>
  <c r="L48" i="15"/>
  <c r="O48" i="15"/>
  <c r="L17" i="14"/>
  <c r="O17" i="14"/>
  <c r="O21" i="14"/>
  <c r="L26" i="14"/>
  <c r="O26" i="14" s="1"/>
  <c r="L30" i="14"/>
  <c r="O30" i="14" s="1"/>
  <c r="L34" i="14"/>
  <c r="O34" i="14" s="1"/>
  <c r="L38" i="14"/>
  <c r="O38" i="14" s="1"/>
  <c r="O42" i="14"/>
  <c r="L46" i="14"/>
  <c r="O46" i="14"/>
  <c r="O50" i="14"/>
  <c r="L19" i="13"/>
  <c r="O19" i="13" s="1"/>
  <c r="L24" i="13"/>
  <c r="O24" i="13" s="1"/>
  <c r="O28" i="13"/>
  <c r="L32" i="13"/>
  <c r="O32" i="13"/>
  <c r="O36" i="13"/>
  <c r="L40" i="13"/>
  <c r="O40" i="13" s="1"/>
  <c r="L44" i="13"/>
  <c r="O44" i="13" s="1"/>
  <c r="L48" i="13"/>
  <c r="O48" i="13" s="1"/>
  <c r="L17" i="16"/>
  <c r="O17" i="16" s="1"/>
  <c r="O21" i="16"/>
  <c r="L26" i="16"/>
  <c r="O26" i="16"/>
  <c r="L30" i="16"/>
  <c r="O30" i="16" s="1"/>
  <c r="L34" i="16"/>
  <c r="O34" i="16"/>
  <c r="L38" i="16"/>
  <c r="O38" i="16"/>
  <c r="O42" i="16"/>
  <c r="L46" i="16"/>
  <c r="O46" i="16" s="1"/>
  <c r="O50" i="16"/>
  <c r="L19" i="12"/>
  <c r="O19" i="12" s="1"/>
  <c r="L24" i="12"/>
  <c r="O24" i="12" s="1"/>
  <c r="O28" i="12"/>
  <c r="L32" i="12"/>
  <c r="O32" i="12" s="1"/>
  <c r="O36" i="12"/>
  <c r="L40" i="12"/>
  <c r="O40" i="12"/>
  <c r="L44" i="12"/>
  <c r="O44" i="12"/>
  <c r="L48" i="12"/>
  <c r="O48" i="12"/>
  <c r="L17" i="11"/>
  <c r="O17" i="11"/>
  <c r="O21" i="11"/>
  <c r="L26" i="11"/>
  <c r="O26" i="11" s="1"/>
  <c r="L30" i="11"/>
  <c r="O30" i="11" s="1"/>
  <c r="L34" i="11"/>
  <c r="O34" i="11" s="1"/>
  <c r="L38" i="11"/>
  <c r="O38" i="11" s="1"/>
  <c r="O42" i="11"/>
  <c r="L46" i="11"/>
  <c r="O46" i="11"/>
  <c r="O50" i="11"/>
  <c r="L19" i="10"/>
  <c r="O19" i="10" s="1"/>
  <c r="L24" i="10"/>
  <c r="O24" i="10" s="1"/>
  <c r="O28" i="10"/>
  <c r="L32" i="10"/>
  <c r="O32" i="10"/>
  <c r="O36" i="10"/>
  <c r="L40" i="10"/>
  <c r="O40" i="10" s="1"/>
  <c r="L44" i="10"/>
  <c r="O44" i="10" s="1"/>
  <c r="L48" i="10"/>
  <c r="O48" i="10" s="1"/>
  <c r="L17" i="9"/>
  <c r="O17" i="9" s="1"/>
  <c r="O21" i="9"/>
  <c r="L26" i="9"/>
  <c r="O26" i="9"/>
  <c r="L30" i="9"/>
  <c r="O30" i="9" s="1"/>
  <c r="L34" i="9"/>
  <c r="O34" i="9"/>
  <c r="L38" i="9"/>
  <c r="O38" i="9" s="1"/>
  <c r="L46" i="9"/>
  <c r="O46" i="9"/>
  <c r="O50" i="9"/>
  <c r="L23" i="18"/>
  <c r="O23" i="18" s="1"/>
  <c r="L19" i="8"/>
  <c r="O19" i="8" s="1"/>
  <c r="L32" i="8"/>
  <c r="O32" i="8" s="1"/>
  <c r="L40" i="8"/>
  <c r="O40" i="8" s="1"/>
  <c r="L44" i="8"/>
  <c r="O44" i="8" s="1"/>
  <c r="L59" i="8" s="1"/>
  <c r="M59" i="8" s="1"/>
  <c r="L17" i="18"/>
  <c r="O17" i="18" s="1"/>
  <c r="L26" i="18"/>
  <c r="O26" i="18" s="1"/>
  <c r="L34" i="18"/>
  <c r="O34" i="18" s="1"/>
  <c r="L19" i="17"/>
  <c r="O19" i="17" s="1"/>
  <c r="L32" i="17"/>
  <c r="O32" i="17" s="1"/>
  <c r="L48" i="17"/>
  <c r="O48" i="17" s="1"/>
  <c r="L17" i="15"/>
  <c r="O17" i="15" s="1"/>
  <c r="L26" i="15"/>
  <c r="O26" i="15" s="1"/>
  <c r="L30" i="15"/>
  <c r="O30" i="15" s="1"/>
  <c r="L38" i="15"/>
  <c r="O38" i="15" s="1"/>
  <c r="L32" i="14"/>
  <c r="O32" i="14" s="1"/>
  <c r="L44" i="14"/>
  <c r="O44" i="14" s="1"/>
  <c r="L30" i="13"/>
  <c r="O30" i="13" s="1"/>
  <c r="L38" i="13"/>
  <c r="O38" i="13" s="1"/>
  <c r="L19" i="16"/>
  <c r="O19" i="16" s="1"/>
  <c r="L32" i="16"/>
  <c r="O32" i="16" s="1"/>
  <c r="L40" i="16"/>
  <c r="O40" i="16" s="1"/>
  <c r="L44" i="16"/>
  <c r="O44" i="16" s="1"/>
  <c r="L30" i="12"/>
  <c r="O30" i="12" s="1"/>
  <c r="L38" i="12"/>
  <c r="O38" i="12" s="1"/>
  <c r="L24" i="11"/>
  <c r="O24" i="11" s="1"/>
  <c r="L32" i="11"/>
  <c r="O32" i="11" s="1"/>
  <c r="L40" i="11"/>
  <c r="O40" i="11" s="1"/>
  <c r="L48" i="11"/>
  <c r="O48" i="11" s="1"/>
  <c r="L26" i="10"/>
  <c r="O26" i="10" s="1"/>
  <c r="L30" i="10"/>
  <c r="O30" i="10" s="1"/>
  <c r="L34" i="10"/>
  <c r="O34" i="10" s="1"/>
  <c r="L38" i="10"/>
  <c r="O38" i="10" s="1"/>
  <c r="L46" i="10"/>
  <c r="O46" i="10" s="1"/>
  <c r="L19" i="9"/>
  <c r="O19" i="9" s="1"/>
  <c r="L32" i="9"/>
  <c r="O32" i="9" s="1"/>
  <c r="L40" i="9"/>
  <c r="O40" i="9" s="1"/>
  <c r="L44" i="9"/>
  <c r="O44" i="9" s="1"/>
  <c r="L18" i="18"/>
  <c r="O18" i="18" s="1"/>
  <c r="L31" i="18"/>
  <c r="O31" i="18" s="1"/>
  <c r="L16" i="17"/>
  <c r="O16" i="17" s="1"/>
  <c r="L20" i="17"/>
  <c r="O20" i="17" s="1"/>
  <c r="L25" i="17"/>
  <c r="O25" i="17" s="1"/>
  <c r="L33" i="17"/>
  <c r="O33" i="17" s="1"/>
  <c r="L18" i="15"/>
  <c r="O18" i="15" s="1"/>
  <c r="L16" i="14"/>
  <c r="O16" i="14" s="1"/>
  <c r="L20" i="14"/>
  <c r="O20" i="14" s="1"/>
  <c r="L37" i="14"/>
  <c r="O37" i="14" s="1"/>
  <c r="L18" i="13"/>
  <c r="O18" i="13" s="1"/>
  <c r="L27" i="13"/>
  <c r="O27" i="13" s="1"/>
  <c r="L31" i="13"/>
  <c r="O31" i="13" s="1"/>
  <c r="O16" i="16"/>
  <c r="L25" i="16"/>
  <c r="O25" i="16" s="1"/>
  <c r="L33" i="16"/>
  <c r="O33" i="16" s="1"/>
  <c r="L18" i="12"/>
  <c r="O18" i="12" s="1"/>
  <c r="L31" i="12"/>
  <c r="O31" i="12" s="1"/>
  <c r="L16" i="11"/>
  <c r="O16" i="11" s="1"/>
  <c r="L25" i="11"/>
  <c r="O25" i="11" s="1"/>
  <c r="L31" i="10"/>
  <c r="O31" i="10" s="1"/>
  <c r="L25" i="9"/>
  <c r="O25" i="9" s="1"/>
  <c r="K59" i="9"/>
  <c r="L18" i="8"/>
  <c r="O18" i="8" s="1"/>
  <c r="O22" i="8"/>
  <c r="L27" i="8"/>
  <c r="O27" i="8"/>
  <c r="L31" i="8"/>
  <c r="O31" i="8"/>
  <c r="O35" i="8"/>
  <c r="L39" i="8"/>
  <c r="O39" i="8" s="1"/>
  <c r="O43" i="8"/>
  <c r="L47" i="8"/>
  <c r="O47" i="8"/>
  <c r="L16" i="18"/>
  <c r="O16" i="18" s="1"/>
  <c r="L20" i="18"/>
  <c r="O20" i="18"/>
  <c r="L25" i="18"/>
  <c r="O25" i="18" s="1"/>
  <c r="O29" i="18"/>
  <c r="L33" i="18"/>
  <c r="O33" i="18" s="1"/>
  <c r="L37" i="18"/>
  <c r="O37" i="18" s="1"/>
  <c r="L41" i="18"/>
  <c r="O41" i="18" s="1"/>
  <c r="L45" i="18"/>
  <c r="O45" i="18" s="1"/>
  <c r="O49" i="18"/>
  <c r="L18" i="17"/>
  <c r="O18" i="17" s="1"/>
  <c r="O22" i="17"/>
  <c r="L27" i="17"/>
  <c r="O27" i="17" s="1"/>
  <c r="L31" i="17"/>
  <c r="O31" i="17" s="1"/>
  <c r="O35" i="17"/>
  <c r="L39" i="17"/>
  <c r="O39" i="17"/>
  <c r="O43" i="17"/>
  <c r="L47" i="17"/>
  <c r="O47" i="17" s="1"/>
  <c r="L16" i="15"/>
  <c r="O16" i="15" s="1"/>
  <c r="L20" i="15"/>
  <c r="O20" i="15" s="1"/>
  <c r="L25" i="15"/>
  <c r="O25" i="15" s="1"/>
  <c r="O29" i="15"/>
  <c r="L33" i="15"/>
  <c r="O33" i="15"/>
  <c r="L37" i="15"/>
  <c r="O37" i="15" s="1"/>
  <c r="L41" i="15"/>
  <c r="O41" i="15"/>
  <c r="L45" i="15"/>
  <c r="O45" i="15" s="1"/>
  <c r="O49" i="15"/>
  <c r="L18" i="14"/>
  <c r="O18" i="14" s="1"/>
  <c r="O22" i="14"/>
  <c r="L27" i="14"/>
  <c r="O27" i="14"/>
  <c r="L31" i="14"/>
  <c r="O31" i="14"/>
  <c r="O35" i="14"/>
  <c r="L39" i="14"/>
  <c r="O39" i="14" s="1"/>
  <c r="O43" i="14"/>
  <c r="L47" i="14"/>
  <c r="O47" i="14" s="1"/>
  <c r="L16" i="13"/>
  <c r="O16" i="13"/>
  <c r="L20" i="13"/>
  <c r="O20" i="13" s="1"/>
  <c r="L25" i="13"/>
  <c r="O25" i="13"/>
  <c r="O29" i="13"/>
  <c r="L33" i="13"/>
  <c r="O33" i="13" s="1"/>
  <c r="L37" i="13"/>
  <c r="O37" i="13" s="1"/>
  <c r="L41" i="13"/>
  <c r="O41" i="13" s="1"/>
  <c r="L45" i="13"/>
  <c r="O45" i="13" s="1"/>
  <c r="O49" i="13"/>
  <c r="L18" i="16"/>
  <c r="O18" i="16"/>
  <c r="O22" i="16"/>
  <c r="L27" i="16"/>
  <c r="O27" i="16" s="1"/>
  <c r="L31" i="16"/>
  <c r="O31" i="16" s="1"/>
  <c r="O35" i="16"/>
  <c r="L39" i="16"/>
  <c r="O39" i="16" s="1"/>
  <c r="O43" i="16"/>
  <c r="L47" i="16"/>
  <c r="O47" i="16" s="1"/>
  <c r="L16" i="12"/>
  <c r="O16" i="12" s="1"/>
  <c r="L20" i="12"/>
  <c r="O20" i="12" s="1"/>
  <c r="L25" i="12"/>
  <c r="O25" i="12" s="1"/>
  <c r="O29" i="12"/>
  <c r="L33" i="12"/>
  <c r="O33" i="12" s="1"/>
  <c r="L37" i="12"/>
  <c r="O37" i="12"/>
  <c r="L41" i="12"/>
  <c r="O41" i="12" s="1"/>
  <c r="L45" i="12"/>
  <c r="O45" i="12"/>
  <c r="O49" i="12"/>
  <c r="L18" i="11"/>
  <c r="O18" i="11" s="1"/>
  <c r="O22" i="11"/>
  <c r="L27" i="11"/>
  <c r="O27" i="11"/>
  <c r="L31" i="11"/>
  <c r="O31" i="11"/>
  <c r="O35" i="11"/>
  <c r="L39" i="11"/>
  <c r="O39" i="11" s="1"/>
  <c r="O43" i="11"/>
  <c r="L47" i="11"/>
  <c r="O47" i="11"/>
  <c r="L16" i="10"/>
  <c r="O16" i="10" s="1"/>
  <c r="L20" i="10"/>
  <c r="O20" i="10"/>
  <c r="L55" i="10" s="1"/>
  <c r="M55" i="10" s="1"/>
  <c r="L25" i="10"/>
  <c r="O25" i="10" s="1"/>
  <c r="O29" i="10"/>
  <c r="L33" i="10"/>
  <c r="O33" i="10" s="1"/>
  <c r="L37" i="10"/>
  <c r="O37" i="10" s="1"/>
  <c r="L41" i="10"/>
  <c r="O41" i="10" s="1"/>
  <c r="L45" i="10"/>
  <c r="O45" i="10" s="1"/>
  <c r="O49" i="10"/>
  <c r="L18" i="9"/>
  <c r="O18" i="9" s="1"/>
  <c r="O22" i="9"/>
  <c r="L27" i="9"/>
  <c r="O27" i="9" s="1"/>
  <c r="L31" i="9"/>
  <c r="O31" i="9" s="1"/>
  <c r="O35" i="9"/>
  <c r="L39" i="9"/>
  <c r="O39" i="9"/>
  <c r="L47" i="9"/>
  <c r="O47" i="9" s="1"/>
  <c r="N51" i="18"/>
  <c r="N51" i="17"/>
  <c r="N51" i="16"/>
  <c r="M51" i="15"/>
  <c r="K13" i="15" s="1"/>
  <c r="M13" i="15" s="1"/>
  <c r="N50" i="15"/>
  <c r="N24" i="15"/>
  <c r="N23" i="15"/>
  <c r="H23" i="15"/>
  <c r="N22" i="15"/>
  <c r="N21" i="15"/>
  <c r="N20" i="15"/>
  <c r="N19" i="15"/>
  <c r="N18" i="15"/>
  <c r="N17" i="15"/>
  <c r="N16" i="15"/>
  <c r="M51" i="14"/>
  <c r="K13" i="14" s="1"/>
  <c r="M13" i="14" s="1"/>
  <c r="N50" i="14"/>
  <c r="N24" i="14"/>
  <c r="N23" i="14"/>
  <c r="H23" i="14"/>
  <c r="N22" i="14"/>
  <c r="N21" i="14"/>
  <c r="N20" i="14"/>
  <c r="N19" i="14"/>
  <c r="N18" i="14"/>
  <c r="N17" i="14"/>
  <c r="N16" i="14"/>
  <c r="M51" i="13"/>
  <c r="K13" i="13" s="1"/>
  <c r="M13" i="13" s="1"/>
  <c r="N50" i="13"/>
  <c r="N24" i="13"/>
  <c r="N23" i="13"/>
  <c r="H23" i="13"/>
  <c r="N22" i="13"/>
  <c r="N21" i="13"/>
  <c r="N20" i="13"/>
  <c r="N19" i="13"/>
  <c r="N18" i="13"/>
  <c r="N17" i="13"/>
  <c r="N16" i="13"/>
  <c r="M51" i="12"/>
  <c r="K13" i="12" s="1"/>
  <c r="M13" i="12" s="1"/>
  <c r="N50" i="12"/>
  <c r="N24" i="12"/>
  <c r="N23" i="12"/>
  <c r="H23" i="12"/>
  <c r="N22" i="12"/>
  <c r="N21" i="12"/>
  <c r="N20" i="12"/>
  <c r="N19" i="12"/>
  <c r="N18" i="12"/>
  <c r="N17" i="12"/>
  <c r="N16" i="12"/>
  <c r="M51" i="11"/>
  <c r="K13" i="11" s="1"/>
  <c r="M13" i="11" s="1"/>
  <c r="N50" i="11"/>
  <c r="N24" i="11"/>
  <c r="N23" i="11"/>
  <c r="H23" i="11"/>
  <c r="N22" i="11"/>
  <c r="N21" i="11"/>
  <c r="N20" i="11"/>
  <c r="N19" i="11"/>
  <c r="N18" i="11"/>
  <c r="N17" i="11"/>
  <c r="N16" i="11"/>
  <c r="M51" i="10"/>
  <c r="K13" i="10" s="1"/>
  <c r="M13" i="10" s="1"/>
  <c r="N50" i="10"/>
  <c r="N24" i="10"/>
  <c r="N23" i="10"/>
  <c r="H23" i="10"/>
  <c r="N22" i="10"/>
  <c r="N21" i="10"/>
  <c r="N20" i="10"/>
  <c r="N19" i="10"/>
  <c r="N18" i="10"/>
  <c r="N17" i="10"/>
  <c r="N16" i="10"/>
  <c r="M51" i="9"/>
  <c r="K13" i="9" s="1"/>
  <c r="M13" i="9" s="1"/>
  <c r="N50" i="9"/>
  <c r="N24" i="9"/>
  <c r="N23" i="9"/>
  <c r="H23" i="9"/>
  <c r="N22" i="9"/>
  <c r="N21" i="9"/>
  <c r="N20" i="9"/>
  <c r="N19" i="9"/>
  <c r="N18" i="9"/>
  <c r="N17" i="9"/>
  <c r="N16" i="9"/>
  <c r="M51" i="8"/>
  <c r="K13" i="8" s="1"/>
  <c r="M13" i="8" s="1"/>
  <c r="N50" i="8"/>
  <c r="N24" i="8"/>
  <c r="N23" i="8"/>
  <c r="H23" i="8"/>
  <c r="N22" i="8"/>
  <c r="N21" i="8"/>
  <c r="N20" i="8"/>
  <c r="N19" i="8"/>
  <c r="N18" i="8"/>
  <c r="N17" i="8"/>
  <c r="N16" i="8"/>
  <c r="M51" i="1"/>
  <c r="K13" i="1" s="1"/>
  <c r="M13" i="1" s="1"/>
  <c r="H25" i="1"/>
  <c r="L58" i="14" l="1"/>
  <c r="M58" i="14" s="1"/>
  <c r="L55" i="9"/>
  <c r="M55" i="9" s="1"/>
  <c r="L57" i="11"/>
  <c r="M57" i="11" s="1"/>
  <c r="L59" i="13"/>
  <c r="M59" i="13" s="1"/>
  <c r="L55" i="17"/>
  <c r="M55" i="17" s="1"/>
  <c r="L57" i="8"/>
  <c r="M57" i="8" s="1"/>
  <c r="L55" i="12"/>
  <c r="M55" i="12" s="1"/>
  <c r="L55" i="18"/>
  <c r="M55" i="18" s="1"/>
  <c r="L58" i="9"/>
  <c r="M58" i="9" s="1"/>
  <c r="L57" i="15"/>
  <c r="M57" i="15" s="1"/>
  <c r="L59" i="14"/>
  <c r="M59" i="14" s="1"/>
  <c r="L55" i="16"/>
  <c r="M55" i="16" s="1"/>
  <c r="L57" i="12"/>
  <c r="M57" i="12" s="1"/>
  <c r="L59" i="16"/>
  <c r="M59" i="16" s="1"/>
  <c r="L57" i="13"/>
  <c r="M57" i="13" s="1"/>
  <c r="L59" i="10"/>
  <c r="M59" i="10" s="1"/>
  <c r="L57" i="14"/>
  <c r="M57" i="14" s="1"/>
  <c r="L59" i="18"/>
  <c r="M59" i="18" s="1"/>
  <c r="L58" i="13"/>
  <c r="M58" i="13" s="1"/>
  <c r="L55" i="15"/>
  <c r="M55" i="15" s="1"/>
  <c r="L57" i="10"/>
  <c r="M57" i="10" s="1"/>
  <c r="L58" i="10"/>
  <c r="M58" i="10" s="1"/>
  <c r="L58" i="18"/>
  <c r="M58" i="18" s="1"/>
  <c r="L55" i="11"/>
  <c r="M55" i="11" s="1"/>
  <c r="L56" i="18"/>
  <c r="M56" i="18" s="1"/>
  <c r="L57" i="17"/>
  <c r="M57" i="17" s="1"/>
  <c r="L58" i="11"/>
  <c r="M58" i="11" s="1"/>
  <c r="L58" i="16"/>
  <c r="M58" i="16" s="1"/>
  <c r="L58" i="17"/>
  <c r="M58" i="17" s="1"/>
  <c r="L58" i="8"/>
  <c r="M58" i="8" s="1"/>
  <c r="L55" i="8"/>
  <c r="M55" i="8" s="1"/>
  <c r="L59" i="11"/>
  <c r="M59" i="11" s="1"/>
  <c r="L59" i="17"/>
  <c r="M59" i="17" s="1"/>
  <c r="L56" i="17"/>
  <c r="M56" i="17" s="1"/>
  <c r="L23" i="9"/>
  <c r="O23" i="9"/>
  <c r="L56" i="9" s="1"/>
  <c r="M56" i="9" s="1"/>
  <c r="L23" i="10"/>
  <c r="O23" i="10" s="1"/>
  <c r="L23" i="11"/>
  <c r="O23" i="11" s="1"/>
  <c r="L23" i="12"/>
  <c r="O23" i="12" s="1"/>
  <c r="L23" i="13"/>
  <c r="O23" i="13"/>
  <c r="L56" i="13" s="1"/>
  <c r="M56" i="13" s="1"/>
  <c r="L23" i="15"/>
  <c r="O23" i="15" s="1"/>
  <c r="L59" i="12"/>
  <c r="M59" i="12" s="1"/>
  <c r="L57" i="16"/>
  <c r="M57" i="16" s="1"/>
  <c r="L55" i="14"/>
  <c r="M55" i="14" s="1"/>
  <c r="L57" i="18"/>
  <c r="M57" i="18" s="1"/>
  <c r="L56" i="16"/>
  <c r="M56" i="16" s="1"/>
  <c r="L58" i="12"/>
  <c r="M58" i="12" s="1"/>
  <c r="L59" i="9"/>
  <c r="M59" i="9" s="1"/>
  <c r="L57" i="9"/>
  <c r="M57" i="9" s="1"/>
  <c r="L23" i="8"/>
  <c r="O23" i="8" s="1"/>
  <c r="L23" i="14"/>
  <c r="O23" i="14" s="1"/>
  <c r="L55" i="13"/>
  <c r="M55" i="13" s="1"/>
  <c r="M60" i="13" s="1"/>
  <c r="L58" i="15"/>
  <c r="M58" i="15" s="1"/>
  <c r="N51" i="12"/>
  <c r="N51" i="13"/>
  <c r="N51" i="14"/>
  <c r="N51" i="15"/>
  <c r="N51" i="8"/>
  <c r="N51" i="9"/>
  <c r="N51" i="10"/>
  <c r="N51" i="11"/>
  <c r="O51" i="16"/>
  <c r="O52" i="16" s="1"/>
  <c r="O51" i="17"/>
  <c r="O52" i="17" s="1"/>
  <c r="O51" i="18"/>
  <c r="O52" i="18" s="1"/>
  <c r="O51" i="9"/>
  <c r="O52" i="9" s="1"/>
  <c r="O51" i="13"/>
  <c r="N50" i="1"/>
  <c r="K50" i="1"/>
  <c r="H50" i="1"/>
  <c r="N49" i="1"/>
  <c r="K49" i="1"/>
  <c r="H49" i="1"/>
  <c r="N48" i="1"/>
  <c r="K48" i="1"/>
  <c r="H48" i="1"/>
  <c r="N47" i="1"/>
  <c r="K47" i="1"/>
  <c r="H47" i="1"/>
  <c r="N46" i="1"/>
  <c r="K46" i="1"/>
  <c r="H46" i="1"/>
  <c r="N45" i="1"/>
  <c r="K45" i="1"/>
  <c r="H45" i="1"/>
  <c r="N44" i="1"/>
  <c r="K44" i="1"/>
  <c r="H44" i="1"/>
  <c r="N43" i="1"/>
  <c r="K43" i="1"/>
  <c r="H43" i="1"/>
  <c r="N42" i="1"/>
  <c r="K42" i="1"/>
  <c r="H42" i="1"/>
  <c r="N41" i="1"/>
  <c r="K41" i="1"/>
  <c r="H41" i="1"/>
  <c r="N40" i="1"/>
  <c r="K40" i="1"/>
  <c r="H40" i="1"/>
  <c r="N39" i="1"/>
  <c r="K39" i="1"/>
  <c r="H39" i="1"/>
  <c r="N38" i="1"/>
  <c r="K38" i="1"/>
  <c r="H38" i="1"/>
  <c r="N37" i="1"/>
  <c r="K37" i="1"/>
  <c r="H37" i="1"/>
  <c r="N36" i="1"/>
  <c r="K36" i="1"/>
  <c r="H36" i="1"/>
  <c r="O36" i="1" s="1"/>
  <c r="N35" i="1"/>
  <c r="K35" i="1"/>
  <c r="H35" i="1"/>
  <c r="N34" i="1"/>
  <c r="K34" i="1"/>
  <c r="H34" i="1"/>
  <c r="N33" i="1"/>
  <c r="K33" i="1"/>
  <c r="H33" i="1"/>
  <c r="N32" i="1"/>
  <c r="K32" i="1"/>
  <c r="H32" i="1"/>
  <c r="N31" i="1"/>
  <c r="K31" i="1"/>
  <c r="H31" i="1"/>
  <c r="N30" i="1"/>
  <c r="K30" i="1"/>
  <c r="H30" i="1"/>
  <c r="N29" i="1"/>
  <c r="K29" i="1"/>
  <c r="H29" i="1"/>
  <c r="N28" i="1"/>
  <c r="K28" i="1"/>
  <c r="H28" i="1"/>
  <c r="O28" i="1" s="1"/>
  <c r="N27" i="1"/>
  <c r="K27" i="1"/>
  <c r="H27" i="1"/>
  <c r="N26" i="1"/>
  <c r="K26" i="1"/>
  <c r="H26" i="1"/>
  <c r="N25" i="1"/>
  <c r="K25" i="1"/>
  <c r="N24" i="1"/>
  <c r="K24" i="1"/>
  <c r="H24" i="1"/>
  <c r="N23" i="1"/>
  <c r="H23" i="1"/>
  <c r="L56" i="8" l="1"/>
  <c r="M56" i="8" s="1"/>
  <c r="O51" i="8"/>
  <c r="L56" i="11"/>
  <c r="M56" i="11" s="1"/>
  <c r="O51" i="11"/>
  <c r="O35" i="1"/>
  <c r="O43" i="1"/>
  <c r="M60" i="17"/>
  <c r="M60" i="16"/>
  <c r="M60" i="9"/>
  <c r="O52" i="13"/>
  <c r="M60" i="8"/>
  <c r="M60" i="18"/>
  <c r="L56" i="12"/>
  <c r="M56" i="12" s="1"/>
  <c r="M60" i="12" s="1"/>
  <c r="O51" i="12"/>
  <c r="O52" i="12" s="1"/>
  <c r="L56" i="15"/>
  <c r="M56" i="15" s="1"/>
  <c r="M60" i="15" s="1"/>
  <c r="O51" i="15"/>
  <c r="L56" i="14"/>
  <c r="M56" i="14" s="1"/>
  <c r="M60" i="14" s="1"/>
  <c r="O51" i="14"/>
  <c r="L56" i="10"/>
  <c r="M56" i="10" s="1"/>
  <c r="M60" i="10" s="1"/>
  <c r="O51" i="10"/>
  <c r="O52" i="10" s="1"/>
  <c r="L48" i="1"/>
  <c r="O48" i="1" s="1"/>
  <c r="L24" i="1"/>
  <c r="O24" i="1" s="1"/>
  <c r="L31" i="1"/>
  <c r="O31" i="1" s="1"/>
  <c r="L27" i="1"/>
  <c r="O27" i="1" s="1"/>
  <c r="L39" i="1"/>
  <c r="O39" i="1" s="1"/>
  <c r="L47" i="1"/>
  <c r="O47" i="1" s="1"/>
  <c r="L26" i="1"/>
  <c r="O26" i="1" s="1"/>
  <c r="L30" i="1"/>
  <c r="O30" i="1" s="1"/>
  <c r="L34" i="1"/>
  <c r="O34" i="1" s="1"/>
  <c r="L38" i="1"/>
  <c r="O38" i="1" s="1"/>
  <c r="O42" i="1"/>
  <c r="L46" i="1"/>
  <c r="O46" i="1" s="1"/>
  <c r="O50" i="1"/>
  <c r="L32" i="1"/>
  <c r="O32" i="1"/>
  <c r="L40" i="1"/>
  <c r="O40" i="1"/>
  <c r="L44" i="1"/>
  <c r="O44" i="1"/>
  <c r="L25" i="1"/>
  <c r="O25" i="1" s="1"/>
  <c r="M60" i="11"/>
  <c r="L23" i="1"/>
  <c r="O23" i="1" s="1"/>
  <c r="O29" i="1"/>
  <c r="L33" i="1"/>
  <c r="O33" i="1"/>
  <c r="L37" i="1"/>
  <c r="O37" i="1"/>
  <c r="L41" i="1"/>
  <c r="O41" i="1"/>
  <c r="L45" i="1"/>
  <c r="O45" i="1"/>
  <c r="O49" i="1"/>
  <c r="O52" i="15"/>
  <c r="O52" i="11"/>
  <c r="O52" i="14"/>
  <c r="O52" i="8"/>
  <c r="N17" i="1"/>
  <c r="L56" i="1" l="1"/>
  <c r="M56" i="1" s="1"/>
  <c r="L58" i="1"/>
  <c r="M58" i="1" s="1"/>
  <c r="L57" i="1"/>
  <c r="M57" i="1" s="1"/>
  <c r="L59" i="1"/>
  <c r="M59" i="1" s="1"/>
  <c r="J23" i="4"/>
  <c r="H13" i="4" s="1"/>
  <c r="J13" i="4" s="1"/>
  <c r="K22" i="4"/>
  <c r="H22" i="4"/>
  <c r="E22" i="4"/>
  <c r="K21" i="4"/>
  <c r="H21" i="4"/>
  <c r="E21" i="4"/>
  <c r="K20" i="4"/>
  <c r="H20" i="4"/>
  <c r="L20" i="4" s="1"/>
  <c r="E20" i="4"/>
  <c r="K19" i="4"/>
  <c r="H19" i="4"/>
  <c r="E19" i="4"/>
  <c r="K18" i="4"/>
  <c r="H18" i="4"/>
  <c r="E18" i="4"/>
  <c r="K17" i="4"/>
  <c r="H17" i="4"/>
  <c r="E17" i="4"/>
  <c r="K16" i="4"/>
  <c r="H16" i="4"/>
  <c r="L16" i="4" s="1"/>
  <c r="E16" i="4"/>
  <c r="J23" i="3"/>
  <c r="H13" i="3" s="1"/>
  <c r="J13" i="3" s="1"/>
  <c r="K22" i="3"/>
  <c r="H22" i="3"/>
  <c r="E22" i="3"/>
  <c r="K21" i="3"/>
  <c r="H21" i="3"/>
  <c r="E21" i="3"/>
  <c r="L21" i="3" s="1"/>
  <c r="K20" i="3"/>
  <c r="H20" i="3"/>
  <c r="E20" i="3"/>
  <c r="K19" i="3"/>
  <c r="H19" i="3"/>
  <c r="E19" i="3"/>
  <c r="K18" i="3"/>
  <c r="H18" i="3"/>
  <c r="E18" i="3"/>
  <c r="K17" i="3"/>
  <c r="H17" i="3"/>
  <c r="E17" i="3"/>
  <c r="L17" i="3" s="1"/>
  <c r="K16" i="3"/>
  <c r="H16" i="3"/>
  <c r="E16" i="3"/>
  <c r="N22" i="1"/>
  <c r="N21" i="1"/>
  <c r="N20" i="1"/>
  <c r="N19" i="1"/>
  <c r="N18" i="1"/>
  <c r="N16" i="1"/>
  <c r="K22" i="1"/>
  <c r="K21" i="1"/>
  <c r="K20" i="1"/>
  <c r="K19" i="1"/>
  <c r="K18" i="1"/>
  <c r="K17" i="1"/>
  <c r="K16" i="1"/>
  <c r="H22" i="1"/>
  <c r="H21" i="1"/>
  <c r="O21" i="1" s="1"/>
  <c r="H20" i="1"/>
  <c r="H19" i="1"/>
  <c r="H17" i="1"/>
  <c r="H16" i="1"/>
  <c r="H18" i="1"/>
  <c r="L22" i="4" l="1"/>
  <c r="L22" i="3"/>
  <c r="L19" i="1"/>
  <c r="O19" i="1" s="1"/>
  <c r="L18" i="1"/>
  <c r="O18" i="1"/>
  <c r="L20" i="1"/>
  <c r="O20" i="1" s="1"/>
  <c r="L55" i="1" s="1"/>
  <c r="M55" i="1" s="1"/>
  <c r="M60" i="1" s="1"/>
  <c r="L16" i="1"/>
  <c r="O16" i="1"/>
  <c r="L17" i="1"/>
  <c r="O17" i="1" s="1"/>
  <c r="O22" i="1"/>
  <c r="L19" i="3"/>
  <c r="K23" i="4"/>
  <c r="L18" i="3"/>
  <c r="N51" i="1"/>
  <c r="L18" i="4"/>
  <c r="K23" i="3"/>
  <c r="L19" i="4"/>
  <c r="L16" i="3"/>
  <c r="L23" i="3" s="1"/>
  <c r="L24" i="3" s="1"/>
  <c r="L20" i="3"/>
  <c r="L17" i="4"/>
  <c r="L21" i="4"/>
  <c r="O51" i="1" l="1"/>
  <c r="L23" i="4"/>
  <c r="L24" i="4" s="1"/>
  <c r="O52" i="1"/>
</calcChain>
</file>

<file path=xl/sharedStrings.xml><?xml version="1.0" encoding="utf-8"?>
<sst xmlns="http://schemas.openxmlformats.org/spreadsheetml/2006/main" count="1048" uniqueCount="85">
  <si>
    <t>Summe</t>
  </si>
  <si>
    <t xml:space="preserve">Friedrich-Alexander-Universität Erlangen-Nürnberg 
Lehrstuhl FAPS </t>
  </si>
  <si>
    <t>Egerlandstr. 7</t>
  </si>
  <si>
    <t xml:space="preserve">91058 Erlangen </t>
  </si>
  <si>
    <t>Pause</t>
  </si>
  <si>
    <t>Max Student</t>
  </si>
  <si>
    <t>Dr. Mustermann</t>
  </si>
  <si>
    <t>TOTAL</t>
  </si>
  <si>
    <t xml:space="preserve"> http://www.zuv.fau.de/einrichtungen/personalabteilung/handbuch-personal/nebenberufliche-hilfskraefte/</t>
  </si>
  <si>
    <t>April 15</t>
  </si>
  <si>
    <t>April 16</t>
  </si>
  <si>
    <t>August 16</t>
  </si>
  <si>
    <t>September 16</t>
  </si>
  <si>
    <t>November 16</t>
  </si>
  <si>
    <t>Month:</t>
  </si>
  <si>
    <t>work days per week</t>
  </si>
  <si>
    <t>weekly working hours</t>
  </si>
  <si>
    <t>Contract from</t>
  </si>
  <si>
    <t>until</t>
  </si>
  <si>
    <t>Holiday (in Days)</t>
  </si>
  <si>
    <t>taken</t>
  </si>
  <si>
    <t>current month</t>
  </si>
  <si>
    <t>remaining</t>
  </si>
  <si>
    <t>Employee</t>
  </si>
  <si>
    <t>Supervisor:</t>
  </si>
  <si>
    <t>Timesheet  for student &amp; research assistants</t>
  </si>
  <si>
    <t>Monday</t>
  </si>
  <si>
    <t>Tuesday</t>
  </si>
  <si>
    <t>Wednesday</t>
  </si>
  <si>
    <t>Thursday</t>
  </si>
  <si>
    <t>Friday</t>
  </si>
  <si>
    <t>Saturday</t>
  </si>
  <si>
    <t>Sunday</t>
  </si>
  <si>
    <t>duration of employment 
(full months)</t>
  </si>
  <si>
    <t>leave days</t>
  </si>
  <si>
    <t>Source:</t>
  </si>
  <si>
    <t>paragraph 5</t>
  </si>
  <si>
    <t>Employee:</t>
  </si>
  <si>
    <t>Signature Employee</t>
  </si>
  <si>
    <t>Signature Supervisor</t>
  </si>
  <si>
    <t>Date</t>
  </si>
  <si>
    <t>Day</t>
  </si>
  <si>
    <t>Start</t>
  </si>
  <si>
    <t>End</t>
  </si>
  <si>
    <t>Time 1</t>
  </si>
  <si>
    <t>Time 2</t>
  </si>
  <si>
    <t>Holiday</t>
  </si>
  <si>
    <t>Hours Holiday</t>
  </si>
  <si>
    <t>Total in h</t>
  </si>
  <si>
    <t>Subtotal</t>
  </si>
  <si>
    <t>filled by assistant</t>
  </si>
  <si>
    <t>filled by supervisor</t>
  </si>
  <si>
    <t>file uses formulas and functions for calculation</t>
  </si>
  <si>
    <t>here</t>
  </si>
  <si>
    <t xml:space="preserve">The file has to be protected before distributing. Please use these buttons. </t>
  </si>
  <si>
    <t>Note: please put in hours in the [hh]:mm format for a correct calculation.</t>
  </si>
  <si>
    <t>The password to unprotect can be found</t>
  </si>
  <si>
    <t>KW</t>
  </si>
  <si>
    <t>JUST FOR INFORMATION</t>
  </si>
  <si>
    <t>week might begin on preceding sheet</t>
  </si>
  <si>
    <t>week might be continued on following sheet</t>
  </si>
  <si>
    <t>Week</t>
  </si>
  <si>
    <t>Sum</t>
  </si>
  <si>
    <t>Balance (in min)</t>
  </si>
  <si>
    <t>Total (excluding Holiday)</t>
  </si>
  <si>
    <t xml:space="preserve">Monthly sheet has to be printed and signed at the end of the month. First by the assistant.
The supervisor has then to verify and sign the sheet as well. They will be kept by the supervisor until the end of the contract and subsequently send to AH (Erlangen) or ASt (Nürnberg) for filing. </t>
  </si>
  <si>
    <t>Wiki.</t>
  </si>
  <si>
    <t>A detailed manual can be found in the</t>
  </si>
  <si>
    <t>October 16</t>
  </si>
  <si>
    <t>December 16</t>
  </si>
  <si>
    <t>July 16</t>
  </si>
  <si>
    <t>June 16</t>
  </si>
  <si>
    <t>May 16</t>
  </si>
  <si>
    <t>March 16</t>
  </si>
  <si>
    <t>February 16</t>
  </si>
  <si>
    <t>January 16</t>
  </si>
  <si>
    <t>TABLE JUST FOR INFORMATION</t>
  </si>
  <si>
    <t>After 6 hours of work, a 30 min break is mandatory.</t>
  </si>
  <si>
    <t>After 9 hours of work, a 60 min break is mandatory.</t>
  </si>
  <si>
    <t>A daily working time of more than 10 h is prohibited!</t>
  </si>
  <si>
    <t>Breaks (will be automatically calculated):</t>
  </si>
  <si>
    <t>Break</t>
  </si>
  <si>
    <t>Dhineshkumar Balasubramaniam</t>
  </si>
  <si>
    <t>Markus Brandmeier</t>
  </si>
  <si>
    <t>hello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</si>
</sst>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d\a\t\um\,\ \k\u\r\z"/>
    <numFmt numFmtId="165" formatCode="[&lt;99999]###\-####;\(###\)\ ###\-####"/>
    <numFmt numFmtId="166" formatCode="0.0"/>
    <numFmt numFmtId="167" formatCode="h:mm;@"/>
    <numFmt numFmtId="168" formatCode="[hh]:mm"/>
    <numFmt numFmtId="169" formatCode="d/m/yy;@"/>
    <numFmt numFmtId="170" formatCode="[$-409]mmm\-yy;@"/>
    <numFmt numFmtId="171" formatCode="0.00_ ;[Red]\-0.00\ "/>
  </numFmts>
  <fonts count="29" x14ac:knownFonts="1">
    <font>
      <sz val="10"/>
      <name val="Arial"/>
    </font>
    <font>
      <u/>
      <sz val="10"/>
      <color indexed="12"/>
      <name val="Arial"/>
      <family val="2"/>
    </font>
    <font>
      <sz val="10"/>
      <name val="Century Gothic"/>
      <family val="2"/>
    </font>
    <font>
      <b/>
      <sz val="22"/>
      <color indexed="20"/>
      <name val="Century Gothic"/>
      <family val="2"/>
    </font>
    <font>
      <sz val="9"/>
      <color indexed="23"/>
      <name val="Century Gothic"/>
      <family val="2"/>
    </font>
    <font>
      <sz val="9"/>
      <name val="Century Gothic"/>
      <family val="2"/>
    </font>
    <font>
      <b/>
      <sz val="9"/>
      <name val="Century Gothic"/>
      <family val="2"/>
    </font>
    <font>
      <sz val="8"/>
      <name val="Century Gothic"/>
      <family val="2"/>
    </font>
    <font>
      <sz val="10"/>
      <color indexed="23"/>
      <name val="Century Gothic"/>
      <family val="2"/>
    </font>
    <font>
      <b/>
      <sz val="12"/>
      <name val="Century Gothic"/>
      <family val="2"/>
    </font>
    <font>
      <b/>
      <sz val="16"/>
      <color indexed="20"/>
      <name val="Century Gothic"/>
      <family val="2"/>
    </font>
    <font>
      <u/>
      <sz val="10"/>
      <name val="Arial"/>
      <family val="2"/>
    </font>
    <font>
      <sz val="10"/>
      <name val="Arial"/>
      <family val="2"/>
    </font>
    <font>
      <b/>
      <sz val="16"/>
      <color indexed="20"/>
      <name val="Arial"/>
      <family val="2"/>
    </font>
    <font>
      <b/>
      <sz val="22"/>
      <color indexed="20"/>
      <name val="Arial"/>
      <family val="2"/>
    </font>
    <font>
      <b/>
      <sz val="12"/>
      <name val="Arial"/>
      <family val="2"/>
    </font>
    <font>
      <sz val="9"/>
      <color indexed="23"/>
      <name val="Arial"/>
      <family val="2"/>
    </font>
    <font>
      <sz val="9"/>
      <name val="Arial"/>
      <family val="2"/>
    </font>
    <font>
      <b/>
      <sz val="10"/>
      <name val="Arial"/>
      <family val="2"/>
    </font>
    <font>
      <b/>
      <sz val="9"/>
      <name val="Arial"/>
      <family val="2"/>
    </font>
    <font>
      <sz val="8"/>
      <name val="Arial"/>
      <family val="2"/>
    </font>
    <font>
      <sz val="10"/>
      <color rgb="FF000000"/>
      <name val="Arial"/>
      <family val="2"/>
    </font>
    <font>
      <b/>
      <sz val="26"/>
      <name val="Arial"/>
      <family val="2"/>
    </font>
    <font>
      <sz val="10"/>
      <color theme="0" tint="-0.249977111117893"/>
      <name val="Century Gothic"/>
      <family val="2"/>
    </font>
    <font>
      <sz val="9"/>
      <color theme="0" tint="-0.34998626667073579"/>
      <name val="Arial"/>
      <family val="2"/>
    </font>
    <font>
      <sz val="10"/>
      <color theme="1" tint="0.499984740745262"/>
      <name val="Century Gothic"/>
      <family val="2"/>
    </font>
    <font>
      <sz val="9"/>
      <color theme="1" tint="0.499984740745262"/>
      <name val="Century Gothic"/>
      <family val="2"/>
    </font>
    <font>
      <b/>
      <sz val="9"/>
      <color theme="1" tint="0.499984740745262"/>
      <name val="Century Gothic"/>
      <family val="2"/>
    </font>
    <font>
      <sz val="8"/>
      <color theme="1" tint="0.499984740745262"/>
      <name val="Century Gothic"/>
      <family val="2"/>
    </font>
  </fonts>
  <fills count="8">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46"/>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s>
  <borders count="62">
    <border>
      <left/>
      <right/>
      <top/>
      <bottom/>
      <diagonal/>
    </border>
    <border>
      <left/>
      <right/>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style="thin">
        <color indexed="23"/>
      </left>
      <right style="thin">
        <color indexed="23"/>
      </right>
      <top/>
      <bottom style="thin">
        <color indexed="23"/>
      </bottom>
      <diagonal/>
    </border>
    <border>
      <left style="thin">
        <color indexed="23"/>
      </left>
      <right/>
      <top/>
      <bottom style="thin">
        <color indexed="23"/>
      </bottom>
      <diagonal/>
    </border>
    <border>
      <left/>
      <right/>
      <top style="thin">
        <color indexed="23"/>
      </top>
      <bottom style="thin">
        <color indexed="23"/>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top style="thin">
        <color theme="0" tint="-0.34998626667073579"/>
      </top>
      <bottom style="thin">
        <color theme="0" tint="-0.34998626667073579"/>
      </bottom>
      <diagonal/>
    </border>
    <border>
      <left style="thin">
        <color indexed="23"/>
      </left>
      <right style="thin">
        <color theme="0" tint="-0.34998626667073579"/>
      </right>
      <top/>
      <bottom/>
      <diagonal/>
    </border>
    <border>
      <left style="thin">
        <color indexed="23"/>
      </left>
      <right/>
      <top/>
      <bottom/>
      <diagonal/>
    </border>
    <border>
      <left style="thin">
        <color indexed="23"/>
      </left>
      <right/>
      <top style="thin">
        <color indexed="23"/>
      </top>
      <bottom/>
      <diagonal/>
    </border>
    <border>
      <left/>
      <right style="thin">
        <color indexed="64"/>
      </right>
      <top/>
      <bottom/>
      <diagonal/>
    </border>
    <border>
      <left style="thin">
        <color indexed="23"/>
      </left>
      <right style="thin">
        <color indexed="23"/>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style="thin">
        <color theme="0" tint="-0.34998626667073579"/>
      </left>
      <right style="thin">
        <color theme="0" tint="-0.34998626667073579"/>
      </right>
      <top style="medium">
        <color indexed="23"/>
      </top>
      <bottom style="thin">
        <color theme="0" tint="-0.34998626667073579"/>
      </bottom>
      <diagonal/>
    </border>
    <border>
      <left/>
      <right/>
      <top style="medium">
        <color indexed="23"/>
      </top>
      <bottom style="thin">
        <color indexed="23"/>
      </bottom>
      <diagonal/>
    </border>
    <border>
      <left style="thin">
        <color indexed="23"/>
      </left>
      <right style="thin">
        <color indexed="23"/>
      </right>
      <top/>
      <bottom style="medium">
        <color indexed="23"/>
      </bottom>
      <diagonal/>
    </border>
    <border>
      <left style="thin">
        <color indexed="23"/>
      </left>
      <right/>
      <top/>
      <bottom style="medium">
        <color indexed="23"/>
      </bottom>
      <diagonal/>
    </border>
    <border>
      <left style="thin">
        <color theme="0" tint="-0.34998626667073579"/>
      </left>
      <right style="thin">
        <color theme="0" tint="-0.34998626667073579"/>
      </right>
      <top style="thin">
        <color theme="0" tint="-0.34998626667073579"/>
      </top>
      <bottom style="medium">
        <color indexed="23"/>
      </bottom>
      <diagonal/>
    </border>
    <border>
      <left/>
      <right/>
      <top/>
      <bottom style="medium">
        <color indexed="23"/>
      </bottom>
      <diagonal/>
    </border>
    <border diagonalUp="1">
      <left style="thin">
        <color indexed="23"/>
      </left>
      <right/>
      <top/>
      <bottom/>
      <diagonal style="thin">
        <color indexed="23"/>
      </diagonal>
    </border>
    <border diagonalUp="1">
      <left style="thin">
        <color indexed="23"/>
      </left>
      <right/>
      <top/>
      <bottom style="thin">
        <color indexed="23"/>
      </bottom>
      <diagonal style="thin">
        <color indexed="23"/>
      </diagonal>
    </border>
    <border diagonalUp="1">
      <left style="thin">
        <color theme="0" tint="-0.34998626667073579"/>
      </left>
      <right style="thin">
        <color theme="0" tint="-0.34998626667073579"/>
      </right>
      <top style="thin">
        <color theme="0" tint="-0.34998626667073579"/>
      </top>
      <bottom style="thin">
        <color theme="0" tint="-0.34998626667073579"/>
      </bottom>
      <diagonal style="thin">
        <color indexed="23"/>
      </diagonal>
    </border>
    <border diagonalUp="1">
      <left/>
      <right/>
      <top/>
      <bottom style="thin">
        <color indexed="23"/>
      </bottom>
      <diagonal style="thin">
        <color indexed="23"/>
      </diagonal>
    </border>
    <border diagonalUp="1">
      <left style="thin">
        <color theme="0" tint="-0.34998626667073579"/>
      </left>
      <right style="thin">
        <color theme="0" tint="-0.34998626667073579"/>
      </right>
      <top style="thin">
        <color theme="0" tint="-0.34998626667073579"/>
      </top>
      <bottom/>
      <diagonal style="thin">
        <color indexed="23"/>
      </diagonal>
    </border>
    <border diagonalUp="1">
      <left/>
      <right/>
      <top/>
      <bottom/>
      <diagonal style="thin">
        <color indexed="23"/>
      </diagonal>
    </border>
    <border diagonalUp="1">
      <left style="thin">
        <color indexed="23"/>
      </left>
      <right/>
      <top style="medium">
        <color indexed="23"/>
      </top>
      <bottom style="thin">
        <color indexed="23"/>
      </bottom>
      <diagonal style="thin">
        <color indexed="23"/>
      </diagonal>
    </border>
    <border diagonalUp="1">
      <left style="thin">
        <color theme="0" tint="-0.34998626667073579"/>
      </left>
      <right style="thin">
        <color theme="0" tint="-0.34998626667073579"/>
      </right>
      <top style="medium">
        <color indexed="23"/>
      </top>
      <bottom style="thin">
        <color theme="0" tint="-0.34998626667073579"/>
      </bottom>
      <diagonal style="thin">
        <color indexed="23"/>
      </diagonal>
    </border>
    <border diagonalUp="1">
      <left/>
      <right/>
      <top style="medium">
        <color indexed="23"/>
      </top>
      <bottom style="thin">
        <color indexed="23"/>
      </bottom>
      <diagonal style="thin">
        <color indexed="23"/>
      </diagonal>
    </border>
    <border diagonalUp="1">
      <left style="thin">
        <color indexed="23"/>
      </left>
      <right/>
      <top/>
      <bottom style="medium">
        <color indexed="23"/>
      </bottom>
      <diagonal style="thin">
        <color indexed="23"/>
      </diagonal>
    </border>
    <border diagonalUp="1">
      <left style="thin">
        <color theme="0" tint="-0.34998626667073579"/>
      </left>
      <right style="thin">
        <color theme="0" tint="-0.34998626667073579"/>
      </right>
      <top style="thin">
        <color theme="0" tint="-0.34998626667073579"/>
      </top>
      <bottom style="medium">
        <color indexed="23"/>
      </bottom>
      <diagonal style="thin">
        <color indexed="23"/>
      </diagonal>
    </border>
    <border diagonalUp="1">
      <left/>
      <right/>
      <top/>
      <bottom style="medium">
        <color indexed="23"/>
      </bottom>
      <diagonal style="thin">
        <color indexed="23"/>
      </diagonal>
    </border>
    <border diagonalUp="1">
      <left style="thin">
        <color theme="0" tint="-0.34998626667073579"/>
      </left>
      <right style="thin">
        <color theme="0" tint="-0.34998626667073579"/>
      </right>
      <top/>
      <bottom style="thin">
        <color theme="0" tint="-0.34998626667073579"/>
      </bottom>
      <diagonal style="thin">
        <color indexed="23"/>
      </diagonal>
    </border>
    <border>
      <left/>
      <right/>
      <top/>
      <bottom style="thin">
        <color rgb="FFFF0000"/>
      </bottom>
      <diagonal/>
    </border>
    <border>
      <left/>
      <right style="thin">
        <color rgb="FFFF0000"/>
      </right>
      <top/>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style="thin">
        <color rgb="FFFF0000"/>
      </left>
      <right/>
      <top/>
      <bottom style="thin">
        <color rgb="FFFF0000"/>
      </bottom>
      <diagonal/>
    </border>
    <border>
      <left/>
      <right style="thin">
        <color rgb="FFFF0000"/>
      </right>
      <top/>
      <bottom style="thin">
        <color rgb="FFFF0000"/>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indexed="23"/>
      </right>
      <top style="thin">
        <color indexed="23"/>
      </top>
      <bottom style="thin">
        <color indexed="23"/>
      </bottom>
      <diagonal/>
    </border>
  </borders>
  <cellStyleXfs count="2">
    <xf numFmtId="0" fontId="0" fillId="0" borderId="0"/>
    <xf numFmtId="0" fontId="1" fillId="0" borderId="0" applyNumberFormat="0" applyFill="0" applyBorder="0" applyAlignment="0" applyProtection="0"/>
  </cellStyleXfs>
  <cellXfs count="249">
    <xf numFmtId="0" fontId="0" fillId="0" borderId="0" xfId="0"/>
    <xf numFmtId="0" fontId="2" fillId="0" borderId="0" xfId="0" applyFont="1"/>
    <xf numFmtId="0" fontId="3" fillId="0" borderId="0" xfId="0" applyFont="1" applyAlignment="1">
      <alignment horizontal="right"/>
    </xf>
    <xf numFmtId="164" fontId="5" fillId="0" borderId="1" xfId="0" applyNumberFormat="1" applyFont="1" applyBorder="1" applyAlignment="1">
      <alignment horizontal="left"/>
    </xf>
    <xf numFmtId="0" fontId="2" fillId="0" borderId="1" xfId="0" applyFont="1" applyBorder="1"/>
    <xf numFmtId="0" fontId="6" fillId="3" borderId="4" xfId="0" applyFont="1" applyFill="1" applyBorder="1" applyAlignment="1">
      <alignment horizontal="left" vertical="center"/>
    </xf>
    <xf numFmtId="0" fontId="7" fillId="0" borderId="0" xfId="0" applyFont="1" applyAlignment="1">
      <alignment horizontal="left"/>
    </xf>
    <xf numFmtId="0" fontId="9" fillId="2" borderId="0" xfId="0" applyFont="1" applyFill="1" applyAlignment="1">
      <alignment horizontal="left" vertical="center" wrapText="1"/>
    </xf>
    <xf numFmtId="0" fontId="10" fillId="0" borderId="0" xfId="0" applyFont="1" applyAlignment="1">
      <alignment horizontal="right"/>
    </xf>
    <xf numFmtId="0" fontId="5" fillId="0" borderId="1" xfId="0" applyFont="1" applyBorder="1" applyAlignment="1"/>
    <xf numFmtId="0" fontId="2" fillId="5" borderId="8"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8" xfId="0" applyFont="1" applyBorder="1" applyAlignment="1">
      <alignment horizontal="center" vertical="center" wrapText="1"/>
    </xf>
    <xf numFmtId="0" fontId="2" fillId="5" borderId="12" xfId="0" applyFont="1" applyFill="1" applyBorder="1" applyAlignment="1">
      <alignment horizontal="center" vertical="center" wrapText="1"/>
    </xf>
    <xf numFmtId="0" fontId="2" fillId="0" borderId="12" xfId="0" applyFont="1" applyFill="1" applyBorder="1" applyAlignment="1">
      <alignment horizontal="center" vertical="center" wrapText="1"/>
    </xf>
    <xf numFmtId="168" fontId="7" fillId="4" borderId="5" xfId="0" applyNumberFormat="1" applyFont="1" applyFill="1" applyBorder="1" applyAlignment="1">
      <alignment horizontal="center" vertical="center"/>
    </xf>
    <xf numFmtId="166" fontId="7" fillId="4" borderId="5" xfId="0" applyNumberFormat="1" applyFont="1" applyFill="1" applyBorder="1" applyAlignment="1">
      <alignment horizontal="center" vertical="center"/>
    </xf>
    <xf numFmtId="0" fontId="2" fillId="0" borderId="0" xfId="0" applyFont="1" applyAlignment="1">
      <alignment wrapText="1"/>
    </xf>
    <xf numFmtId="0" fontId="7" fillId="0" borderId="0" xfId="0" applyFont="1"/>
    <xf numFmtId="0" fontId="11" fillId="0" borderId="0" xfId="1" applyFont="1"/>
    <xf numFmtId="167" fontId="7" fillId="7" borderId="5" xfId="0" applyNumberFormat="1" applyFont="1" applyFill="1" applyBorder="1" applyAlignment="1">
      <alignment horizontal="center" vertical="center"/>
    </xf>
    <xf numFmtId="167" fontId="7" fillId="7" borderId="1"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2" fillId="6" borderId="8" xfId="0" applyNumberFormat="1" applyFont="1" applyFill="1" applyBorder="1" applyAlignment="1">
      <alignment horizontal="center" vertical="center"/>
    </xf>
    <xf numFmtId="0" fontId="2" fillId="0" borderId="0" xfId="0" applyFont="1" applyProtection="1">
      <protection locked="0"/>
    </xf>
    <xf numFmtId="0" fontId="10" fillId="0" borderId="0" xfId="0" applyFont="1" applyAlignment="1" applyProtection="1">
      <alignment horizontal="right"/>
      <protection locked="0"/>
    </xf>
    <xf numFmtId="0" fontId="3" fillId="0" borderId="0" xfId="0" applyFont="1" applyAlignment="1" applyProtection="1">
      <alignment horizontal="right"/>
      <protection locked="0"/>
    </xf>
    <xf numFmtId="0" fontId="9" fillId="2" borderId="0" xfId="0" applyFont="1" applyFill="1" applyAlignment="1" applyProtection="1">
      <alignment horizontal="left" vertical="center" wrapText="1"/>
      <protection locked="0"/>
    </xf>
    <xf numFmtId="0" fontId="4" fillId="0" borderId="0" xfId="0" applyFont="1" applyAlignment="1" applyProtection="1">
      <alignment horizontal="left"/>
      <protection locked="0"/>
    </xf>
    <xf numFmtId="0" fontId="2" fillId="0" borderId="0" xfId="0" applyFont="1" applyAlignment="1" applyProtection="1">
      <alignment horizontal="left" indent="5"/>
      <protection locked="0"/>
    </xf>
    <xf numFmtId="0" fontId="2" fillId="0" borderId="0" xfId="0" applyFont="1" applyAlignment="1" applyProtection="1">
      <alignment horizontal="left"/>
      <protection locked="0"/>
    </xf>
    <xf numFmtId="0" fontId="5" fillId="0" borderId="0" xfId="0" applyFont="1" applyAlignment="1" applyProtection="1">
      <protection locked="0"/>
    </xf>
    <xf numFmtId="166" fontId="5" fillId="0" borderId="8" xfId="0" applyNumberFormat="1" applyFont="1" applyBorder="1" applyAlignment="1" applyProtection="1">
      <protection locked="0"/>
    </xf>
    <xf numFmtId="0" fontId="5" fillId="0" borderId="0" xfId="0" applyFont="1" applyAlignment="1" applyProtection="1">
      <alignment horizontal="left"/>
      <protection locked="0"/>
    </xf>
    <xf numFmtId="0" fontId="4" fillId="0" borderId="0" xfId="0" applyFont="1" applyAlignment="1" applyProtection="1">
      <alignment horizontal="left" indent="5"/>
      <protection locked="0"/>
    </xf>
    <xf numFmtId="0" fontId="1" fillId="0" borderId="0" xfId="1" applyBorder="1" applyAlignment="1" applyProtection="1">
      <alignment horizontal="left"/>
      <protection locked="0"/>
    </xf>
    <xf numFmtId="0" fontId="5" fillId="0" borderId="0" xfId="0" applyFont="1" applyBorder="1" applyAlignment="1" applyProtection="1">
      <alignment horizontal="left"/>
      <protection locked="0"/>
    </xf>
    <xf numFmtId="20" fontId="5" fillId="0" borderId="0" xfId="0" applyNumberFormat="1" applyFont="1" applyBorder="1" applyAlignment="1" applyProtection="1">
      <protection locked="0"/>
    </xf>
    <xf numFmtId="0" fontId="4" fillId="0" borderId="0" xfId="0" applyFont="1" applyAlignment="1" applyProtection="1">
      <alignment horizontal="right"/>
      <protection locked="0"/>
    </xf>
    <xf numFmtId="0" fontId="4" fillId="0" borderId="0" xfId="0" applyFont="1" applyAlignment="1" applyProtection="1">
      <alignment horizontal="right" wrapText="1"/>
      <protection locked="0"/>
    </xf>
    <xf numFmtId="0" fontId="6" fillId="3" borderId="2"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wrapText="1"/>
      <protection locked="0"/>
    </xf>
    <xf numFmtId="0" fontId="6" fillId="3" borderId="4" xfId="0" applyFont="1" applyFill="1" applyBorder="1" applyAlignment="1" applyProtection="1">
      <alignment horizontal="left" vertical="center"/>
      <protection locked="0"/>
    </xf>
    <xf numFmtId="167" fontId="7" fillId="7" borderId="5" xfId="0" applyNumberFormat="1" applyFont="1" applyFill="1" applyBorder="1" applyAlignment="1" applyProtection="1">
      <alignment horizontal="center" vertical="center"/>
      <protection locked="0"/>
    </xf>
    <xf numFmtId="167" fontId="7" fillId="7" borderId="1" xfId="0" applyNumberFormat="1" applyFont="1" applyFill="1" applyBorder="1" applyAlignment="1" applyProtection="1">
      <alignment horizontal="center" vertical="center"/>
      <protection locked="0"/>
    </xf>
    <xf numFmtId="166" fontId="7" fillId="7" borderId="5" xfId="0" applyNumberFormat="1" applyFont="1" applyFill="1" applyBorder="1" applyAlignment="1" applyProtection="1">
      <alignment horizontal="center" vertical="center"/>
      <protection locked="0"/>
    </xf>
    <xf numFmtId="0" fontId="7" fillId="0" borderId="0" xfId="0" applyFont="1" applyAlignment="1" applyProtection="1">
      <alignment horizontal="left"/>
      <protection locked="0"/>
    </xf>
    <xf numFmtId="0" fontId="5" fillId="0" borderId="1" xfId="0" applyFont="1" applyBorder="1" applyAlignment="1" applyProtection="1">
      <protection locked="0"/>
    </xf>
    <xf numFmtId="0" fontId="2" fillId="0" borderId="1" xfId="0" applyFont="1" applyBorder="1" applyProtection="1">
      <protection locked="0"/>
    </xf>
    <xf numFmtId="164" fontId="5" fillId="0" borderId="1" xfId="0" applyNumberFormat="1" applyFont="1" applyBorder="1" applyAlignment="1" applyProtection="1">
      <alignment horizontal="left"/>
      <protection locked="0"/>
    </xf>
    <xf numFmtId="0" fontId="4" fillId="0" borderId="0" xfId="0" applyFont="1" applyAlignment="1" applyProtection="1">
      <alignment vertical="center"/>
      <protection locked="0"/>
    </xf>
    <xf numFmtId="0" fontId="8" fillId="0" borderId="0" xfId="0" applyFont="1" applyProtection="1">
      <protection locked="0"/>
    </xf>
    <xf numFmtId="0" fontId="4" fillId="0" borderId="0" xfId="0" applyFont="1" applyAlignment="1" applyProtection="1">
      <alignment horizontal="left" vertical="center"/>
      <protection locked="0"/>
    </xf>
    <xf numFmtId="166" fontId="5" fillId="0" borderId="8" xfId="0" applyNumberFormat="1" applyFont="1" applyBorder="1" applyAlignment="1" applyProtection="1"/>
    <xf numFmtId="20" fontId="5" fillId="0" borderId="8" xfId="0" applyNumberFormat="1" applyFont="1" applyBorder="1" applyAlignment="1" applyProtection="1"/>
    <xf numFmtId="169" fontId="5" fillId="0" borderId="8" xfId="0" applyNumberFormat="1" applyFont="1" applyBorder="1" applyAlignment="1" applyProtection="1"/>
    <xf numFmtId="14" fontId="5" fillId="0" borderId="8" xfId="0" applyNumberFormat="1" applyFont="1" applyBorder="1" applyAlignment="1" applyProtection="1"/>
    <xf numFmtId="167" fontId="2" fillId="6" borderId="8" xfId="0" applyNumberFormat="1" applyFont="1" applyFill="1" applyBorder="1" applyAlignment="1" applyProtection="1">
      <alignment horizontal="center" vertical="center"/>
    </xf>
    <xf numFmtId="168" fontId="7" fillId="4" borderId="5" xfId="0" applyNumberFormat="1" applyFont="1" applyFill="1" applyBorder="1" applyAlignment="1" applyProtection="1">
      <alignment horizontal="center" vertical="center"/>
    </xf>
    <xf numFmtId="166" fontId="7" fillId="4" borderId="5" xfId="0" applyNumberFormat="1" applyFont="1" applyFill="1" applyBorder="1" applyAlignment="1" applyProtection="1">
      <alignment horizontal="center" vertical="center"/>
    </xf>
    <xf numFmtId="0" fontId="4" fillId="0" borderId="0" xfId="0" applyFont="1" applyAlignment="1" applyProtection="1">
      <alignment horizontal="left"/>
      <protection locked="0"/>
    </xf>
    <xf numFmtId="0" fontId="4" fillId="0" borderId="0" xfId="0" applyFont="1" applyAlignment="1" applyProtection="1">
      <alignment horizontal="left" indent="5"/>
      <protection locked="0"/>
    </xf>
    <xf numFmtId="0" fontId="9" fillId="2" borderId="0" xfId="0" applyFont="1" applyFill="1" applyAlignment="1" applyProtection="1">
      <alignment horizontal="left" vertical="center" wrapText="1"/>
      <protection locked="0"/>
    </xf>
    <xf numFmtId="167" fontId="7" fillId="7" borderId="0" xfId="0" applyNumberFormat="1" applyFont="1" applyFill="1" applyBorder="1" applyAlignment="1" applyProtection="1">
      <alignment horizontal="center" vertical="center"/>
      <protection locked="0"/>
    </xf>
    <xf numFmtId="0" fontId="2" fillId="0" borderId="0" xfId="0" applyFont="1" applyAlignment="1" applyProtection="1">
      <alignment horizontal="center"/>
      <protection locked="0"/>
    </xf>
    <xf numFmtId="0" fontId="4" fillId="0" borderId="0" xfId="0" applyFont="1" applyAlignment="1" applyProtection="1">
      <alignment horizontal="center"/>
      <protection locked="0"/>
    </xf>
    <xf numFmtId="0" fontId="6" fillId="3" borderId="4" xfId="0" applyFont="1" applyFill="1" applyBorder="1" applyAlignment="1" applyProtection="1">
      <alignment horizontal="center" vertical="center"/>
      <protection locked="0"/>
    </xf>
    <xf numFmtId="0" fontId="7" fillId="0" borderId="0" xfId="0" applyFont="1" applyAlignment="1" applyProtection="1">
      <alignment horizontal="center"/>
      <protection locked="0"/>
    </xf>
    <xf numFmtId="0" fontId="6" fillId="3" borderId="22" xfId="0" applyFont="1" applyFill="1" applyBorder="1" applyAlignment="1" applyProtection="1">
      <alignment horizontal="center" vertical="center"/>
      <protection locked="0"/>
    </xf>
    <xf numFmtId="0" fontId="6" fillId="3" borderId="22" xfId="0" applyFont="1" applyFill="1" applyBorder="1" applyAlignment="1" applyProtection="1">
      <alignment horizontal="left" vertical="center"/>
      <protection locked="0"/>
    </xf>
    <xf numFmtId="167" fontId="7" fillId="7" borderId="19" xfId="0" applyNumberFormat="1" applyFont="1" applyFill="1" applyBorder="1" applyAlignment="1" applyProtection="1">
      <alignment horizontal="center" vertical="center"/>
      <protection locked="0"/>
    </xf>
    <xf numFmtId="167" fontId="2" fillId="6" borderId="23" xfId="0" applyNumberFormat="1" applyFont="1" applyFill="1" applyBorder="1" applyAlignment="1" applyProtection="1">
      <alignment horizontal="center" vertical="center"/>
    </xf>
    <xf numFmtId="166" fontId="7" fillId="7" borderId="19" xfId="0" applyNumberFormat="1" applyFont="1" applyFill="1" applyBorder="1" applyAlignment="1" applyProtection="1">
      <alignment horizontal="center" vertical="center"/>
      <protection locked="0"/>
    </xf>
    <xf numFmtId="168" fontId="7" fillId="4" borderId="19" xfId="0" applyNumberFormat="1" applyFont="1" applyFill="1" applyBorder="1" applyAlignment="1" applyProtection="1">
      <alignment horizontal="center" vertical="center"/>
    </xf>
    <xf numFmtId="167" fontId="2" fillId="6" borderId="12" xfId="0" applyNumberFormat="1" applyFont="1" applyFill="1" applyBorder="1" applyAlignment="1" applyProtection="1">
      <alignment horizontal="center" vertical="center"/>
    </xf>
    <xf numFmtId="0" fontId="6" fillId="3" borderId="24" xfId="0" applyFont="1" applyFill="1" applyBorder="1" applyAlignment="1" applyProtection="1">
      <alignment horizontal="center" vertical="center"/>
      <protection locked="0"/>
    </xf>
    <xf numFmtId="0" fontId="6" fillId="3" borderId="24" xfId="0" applyFont="1" applyFill="1" applyBorder="1" applyAlignment="1" applyProtection="1">
      <alignment horizontal="left" vertical="center"/>
      <protection locked="0"/>
    </xf>
    <xf numFmtId="167" fontId="7" fillId="7" borderId="25" xfId="0" applyNumberFormat="1" applyFont="1" applyFill="1" applyBorder="1" applyAlignment="1" applyProtection="1">
      <alignment horizontal="center" vertical="center"/>
      <protection locked="0"/>
    </xf>
    <xf numFmtId="167" fontId="2" fillId="6" borderId="26" xfId="0" applyNumberFormat="1" applyFont="1" applyFill="1" applyBorder="1" applyAlignment="1" applyProtection="1">
      <alignment horizontal="center" vertical="center"/>
    </xf>
    <xf numFmtId="167" fontId="7" fillId="7" borderId="27" xfId="0" applyNumberFormat="1" applyFont="1" applyFill="1" applyBorder="1" applyAlignment="1" applyProtection="1">
      <alignment horizontal="center" vertical="center"/>
      <protection locked="0"/>
    </xf>
    <xf numFmtId="166" fontId="7" fillId="7" borderId="25" xfId="0" applyNumberFormat="1" applyFont="1" applyFill="1" applyBorder="1" applyAlignment="1" applyProtection="1">
      <alignment horizontal="center" vertical="center"/>
      <protection locked="0"/>
    </xf>
    <xf numFmtId="168" fontId="7" fillId="4" borderId="25" xfId="0" applyNumberFormat="1" applyFont="1" applyFill="1" applyBorder="1" applyAlignment="1" applyProtection="1">
      <alignment horizontal="center" vertical="center"/>
    </xf>
    <xf numFmtId="0" fontId="6" fillId="3" borderId="28" xfId="0" applyFont="1" applyFill="1" applyBorder="1" applyAlignment="1" applyProtection="1">
      <alignment horizontal="center" vertical="center"/>
      <protection locked="0"/>
    </xf>
    <xf numFmtId="0" fontId="6" fillId="3" borderId="28" xfId="0" applyFont="1" applyFill="1" applyBorder="1" applyAlignment="1" applyProtection="1">
      <alignment horizontal="left" vertical="center"/>
      <protection locked="0"/>
    </xf>
    <xf numFmtId="167" fontId="7" fillId="7" borderId="29" xfId="0" applyNumberFormat="1" applyFont="1" applyFill="1" applyBorder="1" applyAlignment="1" applyProtection="1">
      <alignment horizontal="center" vertical="center"/>
      <protection locked="0"/>
    </xf>
    <xf numFmtId="167" fontId="2" fillId="6" borderId="30" xfId="0" applyNumberFormat="1" applyFont="1" applyFill="1" applyBorder="1" applyAlignment="1" applyProtection="1">
      <alignment horizontal="center" vertical="center"/>
    </xf>
    <xf numFmtId="167" fontId="7" fillId="7" borderId="31" xfId="0" applyNumberFormat="1" applyFont="1" applyFill="1" applyBorder="1" applyAlignment="1" applyProtection="1">
      <alignment horizontal="center" vertical="center"/>
      <protection locked="0"/>
    </xf>
    <xf numFmtId="166" fontId="7" fillId="7" borderId="29" xfId="0" applyNumberFormat="1" applyFont="1" applyFill="1" applyBorder="1" applyAlignment="1" applyProtection="1">
      <alignment horizontal="center" vertical="center"/>
      <protection locked="0"/>
    </xf>
    <xf numFmtId="168" fontId="7" fillId="4" borderId="29" xfId="0" applyNumberFormat="1" applyFont="1" applyFill="1" applyBorder="1" applyAlignment="1" applyProtection="1">
      <alignment horizontal="center" vertical="center"/>
    </xf>
    <xf numFmtId="167" fontId="7" fillId="7" borderId="33" xfId="0" applyNumberFormat="1" applyFont="1" applyFill="1" applyBorder="1" applyAlignment="1" applyProtection="1">
      <alignment horizontal="center" vertical="center"/>
      <protection locked="0"/>
    </xf>
    <xf numFmtId="167" fontId="2" fillId="6" borderId="34" xfId="0" applyNumberFormat="1" applyFont="1" applyFill="1" applyBorder="1" applyAlignment="1" applyProtection="1">
      <alignment horizontal="center" vertical="center"/>
    </xf>
    <xf numFmtId="167" fontId="7" fillId="7" borderId="35" xfId="0" applyNumberFormat="1" applyFont="1" applyFill="1" applyBorder="1" applyAlignment="1" applyProtection="1">
      <alignment horizontal="center" vertical="center"/>
      <protection locked="0"/>
    </xf>
    <xf numFmtId="166" fontId="7" fillId="7" borderId="33" xfId="0" applyNumberFormat="1" applyFont="1" applyFill="1" applyBorder="1" applyAlignment="1" applyProtection="1">
      <alignment horizontal="center" vertical="center"/>
      <protection locked="0"/>
    </xf>
    <xf numFmtId="168" fontId="7" fillId="4" borderId="33" xfId="0" applyNumberFormat="1" applyFont="1" applyFill="1" applyBorder="1" applyAlignment="1" applyProtection="1">
      <alignment horizontal="center" vertical="center"/>
    </xf>
    <xf numFmtId="167" fontId="7" fillId="7" borderId="32" xfId="0" applyNumberFormat="1" applyFont="1" applyFill="1" applyBorder="1" applyAlignment="1" applyProtection="1">
      <alignment horizontal="center" vertical="center"/>
      <protection locked="0"/>
    </xf>
    <xf numFmtId="167" fontId="2" fillId="6" borderId="36" xfId="0" applyNumberFormat="1" applyFont="1" applyFill="1" applyBorder="1" applyAlignment="1" applyProtection="1">
      <alignment horizontal="center" vertical="center"/>
    </xf>
    <xf numFmtId="167" fontId="7" fillId="7" borderId="37" xfId="0" applyNumberFormat="1" applyFont="1" applyFill="1" applyBorder="1" applyAlignment="1" applyProtection="1">
      <alignment horizontal="center" vertical="center"/>
      <protection locked="0"/>
    </xf>
    <xf numFmtId="166" fontId="7" fillId="7" borderId="32" xfId="0" applyNumberFormat="1" applyFont="1" applyFill="1" applyBorder="1" applyAlignment="1" applyProtection="1">
      <alignment horizontal="center" vertical="center"/>
      <protection locked="0"/>
    </xf>
    <xf numFmtId="168" fontId="7" fillId="4" borderId="32" xfId="0" applyNumberFormat="1" applyFont="1" applyFill="1" applyBorder="1" applyAlignment="1" applyProtection="1">
      <alignment horizontal="center" vertical="center"/>
    </xf>
    <xf numFmtId="167" fontId="7" fillId="7" borderId="38" xfId="0" applyNumberFormat="1" applyFont="1" applyFill="1" applyBorder="1" applyAlignment="1" applyProtection="1">
      <alignment horizontal="center" vertical="center"/>
      <protection locked="0"/>
    </xf>
    <xf numFmtId="167" fontId="2" fillId="6" borderId="39" xfId="0" applyNumberFormat="1" applyFont="1" applyFill="1" applyBorder="1" applyAlignment="1" applyProtection="1">
      <alignment horizontal="center" vertical="center"/>
    </xf>
    <xf numFmtId="167" fontId="7" fillId="7" borderId="40" xfId="0" applyNumberFormat="1" applyFont="1" applyFill="1" applyBorder="1" applyAlignment="1" applyProtection="1">
      <alignment horizontal="center" vertical="center"/>
      <protection locked="0"/>
    </xf>
    <xf numFmtId="166" fontId="7" fillId="7" borderId="38" xfId="0" applyNumberFormat="1" applyFont="1" applyFill="1" applyBorder="1" applyAlignment="1" applyProtection="1">
      <alignment horizontal="center" vertical="center"/>
      <protection locked="0"/>
    </xf>
    <xf numFmtId="168" fontId="7" fillId="4" borderId="38" xfId="0" applyNumberFormat="1" applyFont="1" applyFill="1" applyBorder="1" applyAlignment="1" applyProtection="1">
      <alignment horizontal="center" vertical="center"/>
    </xf>
    <xf numFmtId="167" fontId="2" fillId="6" borderId="42" xfId="0" applyNumberFormat="1" applyFont="1" applyFill="1" applyBorder="1" applyAlignment="1" applyProtection="1">
      <alignment horizontal="center" vertical="center"/>
    </xf>
    <xf numFmtId="167" fontId="2" fillId="6" borderId="44" xfId="0" applyNumberFormat="1" applyFont="1" applyFill="1" applyBorder="1" applyAlignment="1" applyProtection="1">
      <alignment horizontal="center" vertical="center"/>
    </xf>
    <xf numFmtId="168" fontId="7" fillId="6" borderId="5" xfId="0" applyNumberFormat="1" applyFont="1" applyFill="1" applyBorder="1" applyAlignment="1" applyProtection="1">
      <alignment horizontal="center" vertical="center"/>
    </xf>
    <xf numFmtId="21" fontId="2" fillId="0" borderId="0" xfId="0" applyNumberFormat="1" applyFont="1"/>
    <xf numFmtId="21" fontId="0" fillId="0" borderId="0" xfId="0" applyNumberFormat="1"/>
    <xf numFmtId="0" fontId="12" fillId="0" borderId="0" xfId="0" applyFont="1"/>
    <xf numFmtId="0" fontId="13" fillId="0" borderId="0" xfId="0" applyFont="1" applyAlignment="1">
      <alignment horizontal="right"/>
    </xf>
    <xf numFmtId="0" fontId="14" fillId="0" borderId="0" xfId="0" applyFont="1" applyAlignment="1">
      <alignment horizontal="right"/>
    </xf>
    <xf numFmtId="0" fontId="15" fillId="2" borderId="0" xfId="0" applyFont="1" applyFill="1" applyAlignment="1">
      <alignment horizontal="left" vertical="center" wrapText="1"/>
    </xf>
    <xf numFmtId="0" fontId="16" fillId="0" borderId="0" xfId="0" applyFont="1" applyAlignment="1">
      <alignment horizontal="left"/>
    </xf>
    <xf numFmtId="0" fontId="12" fillId="0" borderId="0" xfId="0" applyFont="1" applyAlignment="1">
      <alignment horizontal="left"/>
    </xf>
    <xf numFmtId="166" fontId="17" fillId="0" borderId="8" xfId="0" applyNumberFormat="1" applyFont="1" applyBorder="1" applyAlignment="1"/>
    <xf numFmtId="0" fontId="17" fillId="0" borderId="0" xfId="0" applyFont="1" applyAlignment="1">
      <alignment horizontal="left"/>
    </xf>
    <xf numFmtId="20" fontId="17" fillId="0" borderId="8" xfId="0" applyNumberFormat="1" applyFont="1" applyBorder="1" applyAlignment="1"/>
    <xf numFmtId="0" fontId="16" fillId="0" borderId="0" xfId="0" applyFont="1" applyAlignment="1">
      <alignment horizontal="left" indent="5"/>
    </xf>
    <xf numFmtId="0" fontId="1" fillId="0" borderId="0" xfId="1" applyFont="1" applyBorder="1" applyAlignment="1">
      <alignment horizontal="left"/>
    </xf>
    <xf numFmtId="0" fontId="17" fillId="0" borderId="0" xfId="0" applyFont="1" applyBorder="1" applyAlignment="1">
      <alignment horizontal="left"/>
    </xf>
    <xf numFmtId="169" fontId="17" fillId="0" borderId="8" xfId="0" applyNumberFormat="1" applyFont="1" applyBorder="1" applyAlignment="1"/>
    <xf numFmtId="0" fontId="16" fillId="0" borderId="0" xfId="0" applyFont="1" applyAlignment="1">
      <alignment horizontal="right"/>
    </xf>
    <xf numFmtId="14" fontId="17" fillId="0" borderId="8" xfId="0" applyNumberFormat="1" applyFont="1" applyBorder="1" applyAlignment="1"/>
    <xf numFmtId="0" fontId="16" fillId="0" borderId="0" xfId="0" applyFont="1" applyAlignment="1">
      <alignment horizontal="right" wrapText="1"/>
    </xf>
    <xf numFmtId="0" fontId="19" fillId="3" borderId="2"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20"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4" xfId="0" applyFont="1" applyFill="1" applyBorder="1" applyAlignment="1">
      <alignment horizontal="left" vertical="center"/>
    </xf>
    <xf numFmtId="167" fontId="20" fillId="7" borderId="5" xfId="0" applyNumberFormat="1" applyFont="1" applyFill="1" applyBorder="1" applyAlignment="1">
      <alignment horizontal="center" vertical="center"/>
    </xf>
    <xf numFmtId="167" fontId="12" fillId="6" borderId="8" xfId="0" applyNumberFormat="1" applyFont="1" applyFill="1" applyBorder="1" applyAlignment="1">
      <alignment horizontal="center" vertical="center"/>
    </xf>
    <xf numFmtId="167" fontId="20" fillId="7" borderId="1" xfId="0" applyNumberFormat="1" applyFont="1" applyFill="1" applyBorder="1" applyAlignment="1">
      <alignment horizontal="center" vertical="center"/>
    </xf>
    <xf numFmtId="168" fontId="20" fillId="4" borderId="5" xfId="0" applyNumberFormat="1" applyFont="1" applyFill="1" applyBorder="1" applyAlignment="1">
      <alignment horizontal="center" vertical="center"/>
    </xf>
    <xf numFmtId="166" fontId="20" fillId="7" borderId="5" xfId="0" applyNumberFormat="1" applyFont="1" applyFill="1" applyBorder="1" applyAlignment="1">
      <alignment horizontal="center" vertical="center"/>
    </xf>
    <xf numFmtId="166" fontId="20" fillId="4" borderId="5" xfId="0" applyNumberFormat="1" applyFont="1" applyFill="1" applyBorder="1" applyAlignment="1">
      <alignment horizontal="center" vertical="center"/>
    </xf>
    <xf numFmtId="0" fontId="17" fillId="0" borderId="0" xfId="0" applyFont="1"/>
    <xf numFmtId="0" fontId="20" fillId="0" borderId="0" xfId="0" applyFont="1" applyAlignment="1">
      <alignment horizontal="left"/>
    </xf>
    <xf numFmtId="0" fontId="17" fillId="0" borderId="1" xfId="0" applyFont="1" applyBorder="1" applyAlignment="1"/>
    <xf numFmtId="0" fontId="12" fillId="0" borderId="1" xfId="0" applyFont="1" applyBorder="1"/>
    <xf numFmtId="164" fontId="17" fillId="0" borderId="1" xfId="0" applyNumberFormat="1" applyFont="1" applyBorder="1" applyAlignment="1">
      <alignment horizontal="left"/>
    </xf>
    <xf numFmtId="0" fontId="4" fillId="0" borderId="0" xfId="0" applyFont="1" applyAlignment="1" applyProtection="1">
      <alignment horizontal="left"/>
      <protection locked="0"/>
    </xf>
    <xf numFmtId="0" fontId="16" fillId="0" borderId="0" xfId="0" applyFont="1" applyAlignment="1">
      <alignment horizontal="left"/>
    </xf>
    <xf numFmtId="0" fontId="16" fillId="0" borderId="0" xfId="0" applyFont="1" applyAlignment="1">
      <alignment horizontal="left" indent="5"/>
    </xf>
    <xf numFmtId="0" fontId="2" fillId="0" borderId="0" xfId="0" applyFont="1" applyAlignment="1" applyProtection="1">
      <alignment horizontal="right" indent="5"/>
      <protection locked="0"/>
    </xf>
    <xf numFmtId="0" fontId="22" fillId="0" borderId="0" xfId="0" applyFont="1" applyAlignment="1">
      <alignment horizontal="center" vertical="center"/>
    </xf>
    <xf numFmtId="0" fontId="22" fillId="0" borderId="0" xfId="0" applyFont="1" applyBorder="1" applyAlignment="1">
      <alignment vertical="center"/>
    </xf>
    <xf numFmtId="0" fontId="12" fillId="0" borderId="45" xfId="0" applyFont="1" applyBorder="1"/>
    <xf numFmtId="0" fontId="1" fillId="0" borderId="52" xfId="1" applyBorder="1" applyAlignment="1">
      <alignment vertical="top" wrapText="1"/>
    </xf>
    <xf numFmtId="0" fontId="23" fillId="0" borderId="0" xfId="0" applyFont="1" applyAlignment="1" applyProtection="1">
      <alignment horizontal="right"/>
    </xf>
    <xf numFmtId="166" fontId="24" fillId="0" borderId="8" xfId="0" applyNumberFormat="1" applyFont="1" applyBorder="1" applyAlignment="1" applyProtection="1"/>
    <xf numFmtId="1" fontId="24" fillId="0" borderId="8" xfId="0" applyNumberFormat="1" applyFont="1" applyBorder="1" applyAlignment="1" applyProtection="1">
      <alignment horizontal="center"/>
    </xf>
    <xf numFmtId="168" fontId="24" fillId="0" borderId="8" xfId="0" applyNumberFormat="1" applyFont="1" applyBorder="1" applyAlignment="1" applyProtection="1"/>
    <xf numFmtId="2" fontId="24" fillId="0" borderId="8" xfId="0" applyNumberFormat="1" applyFont="1" applyBorder="1" applyAlignment="1" applyProtection="1"/>
    <xf numFmtId="0" fontId="2" fillId="0" borderId="0" xfId="0" applyFont="1" applyProtection="1"/>
    <xf numFmtId="171" fontId="24" fillId="0" borderId="8" xfId="0" applyNumberFormat="1" applyFont="1" applyBorder="1" applyAlignment="1" applyProtection="1"/>
    <xf numFmtId="0" fontId="12" fillId="0" borderId="0" xfId="0" applyFont="1" applyBorder="1"/>
    <xf numFmtId="0" fontId="1" fillId="0" borderId="0" xfId="1"/>
    <xf numFmtId="1" fontId="24" fillId="0" borderId="0" xfId="0" applyNumberFormat="1" applyFont="1" applyBorder="1" applyAlignment="1" applyProtection="1">
      <alignment horizontal="right"/>
    </xf>
    <xf numFmtId="171" fontId="24" fillId="0" borderId="0" xfId="0" applyNumberFormat="1" applyFont="1" applyBorder="1" applyAlignment="1" applyProtection="1"/>
    <xf numFmtId="0" fontId="25" fillId="0" borderId="0" xfId="0" applyFont="1" applyAlignment="1" applyProtection="1">
      <alignment horizontal="center"/>
      <protection locked="0"/>
    </xf>
    <xf numFmtId="0" fontId="26" fillId="0" borderId="0" xfId="0" applyFont="1" applyAlignment="1" applyProtection="1">
      <alignment horizontal="center"/>
      <protection locked="0"/>
    </xf>
    <xf numFmtId="0" fontId="2" fillId="0" borderId="0" xfId="0" applyFont="1" applyBorder="1" applyProtection="1">
      <protection locked="0"/>
    </xf>
    <xf numFmtId="0" fontId="25" fillId="0" borderId="0" xfId="0" applyFont="1" applyBorder="1" applyAlignment="1" applyProtection="1">
      <alignment horizontal="center"/>
      <protection locked="0"/>
    </xf>
    <xf numFmtId="0" fontId="27" fillId="3" borderId="2" xfId="0" applyFont="1" applyFill="1" applyBorder="1" applyAlignment="1" applyProtection="1">
      <alignment horizontal="center" vertical="center"/>
      <protection locked="0"/>
    </xf>
    <xf numFmtId="0" fontId="27" fillId="3" borderId="4" xfId="0" applyFont="1" applyFill="1" applyBorder="1" applyAlignment="1" applyProtection="1">
      <alignment horizontal="center" vertical="center"/>
      <protection locked="0"/>
    </xf>
    <xf numFmtId="14" fontId="2" fillId="0" borderId="0" xfId="0" applyNumberFormat="1" applyFont="1" applyProtection="1">
      <protection locked="0"/>
    </xf>
    <xf numFmtId="0" fontId="27" fillId="3" borderId="22" xfId="0" applyFont="1" applyFill="1" applyBorder="1" applyAlignment="1" applyProtection="1">
      <alignment horizontal="center" vertical="center"/>
      <protection locked="0"/>
    </xf>
    <xf numFmtId="0" fontId="27" fillId="3" borderId="24" xfId="0" applyFont="1" applyFill="1" applyBorder="1" applyAlignment="1" applyProtection="1">
      <alignment horizontal="center" vertical="center"/>
      <protection locked="0"/>
    </xf>
    <xf numFmtId="0" fontId="27" fillId="3" borderId="28" xfId="0" applyFont="1" applyFill="1" applyBorder="1" applyAlignment="1" applyProtection="1">
      <alignment horizontal="center" vertical="center"/>
      <protection locked="0"/>
    </xf>
    <xf numFmtId="0" fontId="25" fillId="0" borderId="0" xfId="0" applyFont="1" applyAlignment="1" applyProtection="1">
      <alignment horizontal="center"/>
    </xf>
    <xf numFmtId="0" fontId="28" fillId="0" borderId="0" xfId="0" applyFont="1" applyAlignment="1" applyProtection="1">
      <alignment horizontal="center"/>
    </xf>
    <xf numFmtId="0" fontId="2" fillId="0" borderId="0" xfId="0" applyFont="1" applyAlignment="1" applyProtection="1">
      <alignment horizontal="center"/>
    </xf>
    <xf numFmtId="167" fontId="7" fillId="6" borderId="38" xfId="0" applyNumberFormat="1" applyFont="1" applyFill="1" applyBorder="1" applyAlignment="1" applyProtection="1">
      <alignment horizontal="center" vertical="center"/>
      <protection locked="0"/>
    </xf>
    <xf numFmtId="167" fontId="7" fillId="6" borderId="40" xfId="0" applyNumberFormat="1" applyFont="1" applyFill="1" applyBorder="1" applyAlignment="1" applyProtection="1">
      <alignment horizontal="center" vertical="center"/>
      <protection locked="0"/>
    </xf>
    <xf numFmtId="168" fontId="7" fillId="6" borderId="38" xfId="0" applyNumberFormat="1" applyFont="1" applyFill="1" applyBorder="1" applyAlignment="1" applyProtection="1">
      <alignment horizontal="center" vertical="center"/>
    </xf>
    <xf numFmtId="166" fontId="7" fillId="6" borderId="38" xfId="0" applyNumberFormat="1" applyFont="1" applyFill="1" applyBorder="1" applyAlignment="1" applyProtection="1">
      <alignment horizontal="center" vertical="center"/>
      <protection locked="0"/>
    </xf>
    <xf numFmtId="167" fontId="7" fillId="6" borderId="41" xfId="0" applyNumberFormat="1" applyFont="1" applyFill="1" applyBorder="1" applyAlignment="1" applyProtection="1">
      <alignment horizontal="center" vertical="center"/>
      <protection locked="0"/>
    </xf>
    <xf numFmtId="167" fontId="7" fillId="6" borderId="43" xfId="0" applyNumberFormat="1" applyFont="1" applyFill="1" applyBorder="1" applyAlignment="1" applyProtection="1">
      <alignment horizontal="center" vertical="center"/>
      <protection locked="0"/>
    </xf>
    <xf numFmtId="168" fontId="7" fillId="6" borderId="41" xfId="0" applyNumberFormat="1" applyFont="1" applyFill="1" applyBorder="1" applyAlignment="1" applyProtection="1">
      <alignment horizontal="center" vertical="center"/>
    </xf>
    <xf numFmtId="166" fontId="7" fillId="6" borderId="41" xfId="0" applyNumberFormat="1" applyFont="1" applyFill="1" applyBorder="1" applyAlignment="1" applyProtection="1">
      <alignment horizontal="center" vertical="center"/>
      <protection locked="0"/>
    </xf>
    <xf numFmtId="167" fontId="7" fillId="6" borderId="25" xfId="0" applyNumberFormat="1" applyFont="1" applyFill="1" applyBorder="1" applyAlignment="1" applyProtection="1">
      <alignment horizontal="center" vertical="center"/>
      <protection locked="0"/>
    </xf>
    <xf numFmtId="167" fontId="7" fillId="6" borderId="27" xfId="0" applyNumberFormat="1" applyFont="1" applyFill="1" applyBorder="1" applyAlignment="1" applyProtection="1">
      <alignment horizontal="center" vertical="center"/>
      <protection locked="0"/>
    </xf>
    <xf numFmtId="168" fontId="7" fillId="6" borderId="25" xfId="0" applyNumberFormat="1" applyFont="1" applyFill="1" applyBorder="1" applyAlignment="1" applyProtection="1">
      <alignment horizontal="center" vertical="center"/>
    </xf>
    <xf numFmtId="166" fontId="7" fillId="6" borderId="25" xfId="0" applyNumberFormat="1" applyFont="1" applyFill="1" applyBorder="1" applyAlignment="1" applyProtection="1">
      <alignment horizontal="center" vertical="center"/>
      <protection locked="0"/>
    </xf>
    <xf numFmtId="167" fontId="7" fillId="6" borderId="29" xfId="0" applyNumberFormat="1" applyFont="1" applyFill="1" applyBorder="1" applyAlignment="1" applyProtection="1">
      <alignment horizontal="center" vertical="center"/>
      <protection locked="0"/>
    </xf>
    <xf numFmtId="167" fontId="7" fillId="6" borderId="31" xfId="0" applyNumberFormat="1" applyFont="1" applyFill="1" applyBorder="1" applyAlignment="1" applyProtection="1">
      <alignment horizontal="center" vertical="center"/>
      <protection locked="0"/>
    </xf>
    <xf numFmtId="168" fontId="7" fillId="6" borderId="29" xfId="0" applyNumberFormat="1" applyFont="1" applyFill="1" applyBorder="1" applyAlignment="1" applyProtection="1">
      <alignment horizontal="center" vertical="center"/>
    </xf>
    <xf numFmtId="166" fontId="7" fillId="6" borderId="29" xfId="0" applyNumberFormat="1" applyFont="1" applyFill="1" applyBorder="1" applyAlignment="1" applyProtection="1">
      <alignment horizontal="center" vertical="center"/>
      <protection locked="0"/>
    </xf>
    <xf numFmtId="21" fontId="5" fillId="0" borderId="8" xfId="0" applyNumberFormat="1" applyFont="1" applyBorder="1" applyAlignment="1" applyProtection="1"/>
    <xf numFmtId="0" fontId="15" fillId="2" borderId="0" xfId="0" applyFont="1" applyFill="1" applyAlignment="1">
      <alignment horizontal="left" vertical="center" wrapText="1"/>
    </xf>
    <xf numFmtId="0" fontId="16" fillId="0" borderId="0" xfId="0" applyFont="1" applyAlignment="1">
      <alignment horizontal="left"/>
    </xf>
    <xf numFmtId="0" fontId="4" fillId="0" borderId="0" xfId="0" applyFont="1" applyAlignment="1" applyProtection="1">
      <alignment horizontal="right" indent="5"/>
      <protection locked="0"/>
    </xf>
    <xf numFmtId="49" fontId="17" fillId="0" borderId="1" xfId="0" applyNumberFormat="1" applyFont="1" applyBorder="1" applyAlignment="1">
      <alignment horizontal="left"/>
    </xf>
    <xf numFmtId="0" fontId="4" fillId="0" borderId="0" xfId="0" applyFont="1" applyAlignment="1" applyProtection="1">
      <alignment horizontal="left"/>
      <protection locked="0"/>
    </xf>
    <xf numFmtId="0" fontId="12" fillId="0" borderId="0" xfId="0" applyFont="1" applyAlignment="1">
      <alignment horizontal="left" vertical="center" wrapText="1"/>
    </xf>
    <xf numFmtId="0" fontId="22" fillId="0" borderId="46" xfId="0" applyFont="1" applyBorder="1" applyAlignment="1">
      <alignment horizontal="center" vertical="center"/>
    </xf>
    <xf numFmtId="0" fontId="18" fillId="0" borderId="47" xfId="0" applyFont="1" applyBorder="1" applyAlignment="1">
      <alignment vertical="top" wrapText="1"/>
    </xf>
    <xf numFmtId="0" fontId="18" fillId="0" borderId="48" xfId="0" applyFont="1" applyBorder="1" applyAlignment="1">
      <alignment vertical="top" wrapText="1"/>
    </xf>
    <xf numFmtId="0" fontId="18" fillId="0" borderId="49" xfId="0" applyFont="1" applyBorder="1" applyAlignment="1">
      <alignment vertical="top" wrapText="1"/>
    </xf>
    <xf numFmtId="0" fontId="18" fillId="0" borderId="50" xfId="0" applyFont="1" applyBorder="1" applyAlignment="1">
      <alignment vertical="top" wrapText="1"/>
    </xf>
    <xf numFmtId="0" fontId="18" fillId="0" borderId="0" xfId="0" applyFont="1" applyBorder="1" applyAlignment="1">
      <alignment vertical="top" wrapText="1"/>
    </xf>
    <xf numFmtId="0" fontId="18" fillId="0" borderId="46" xfId="0" applyFont="1" applyBorder="1" applyAlignment="1">
      <alignment vertical="top" wrapText="1"/>
    </xf>
    <xf numFmtId="0" fontId="18" fillId="0" borderId="51" xfId="0" applyFont="1" applyBorder="1" applyAlignment="1">
      <alignment horizontal="right" vertical="top" wrapText="1"/>
    </xf>
    <xf numFmtId="0" fontId="18" fillId="0" borderId="45" xfId="0" applyFont="1" applyBorder="1" applyAlignment="1">
      <alignment horizontal="right" vertical="top" wrapText="1"/>
    </xf>
    <xf numFmtId="165" fontId="17" fillId="0" borderId="6" xfId="0" applyNumberFormat="1" applyFont="1" applyBorder="1" applyAlignment="1">
      <alignment horizontal="left"/>
    </xf>
    <xf numFmtId="0" fontId="11" fillId="0" borderId="6" xfId="1" applyFont="1" applyBorder="1" applyAlignment="1">
      <alignment horizontal="left"/>
    </xf>
    <xf numFmtId="0" fontId="17" fillId="0" borderId="6" xfId="0" applyFont="1" applyBorder="1" applyAlignment="1">
      <alignment horizontal="left"/>
    </xf>
    <xf numFmtId="0" fontId="12" fillId="0" borderId="0" xfId="0" applyFont="1" applyAlignment="1">
      <alignment horizontal="left" vertical="top" wrapText="1"/>
    </xf>
    <xf numFmtId="0" fontId="17" fillId="0" borderId="1" xfId="0" applyFont="1" applyBorder="1" applyAlignment="1">
      <alignment horizontal="left"/>
    </xf>
    <xf numFmtId="0" fontId="12" fillId="0" borderId="60" xfId="0" applyFont="1" applyBorder="1" applyAlignment="1">
      <alignment horizontal="left" vertical="top" wrapText="1"/>
    </xf>
    <xf numFmtId="0" fontId="12" fillId="0" borderId="53" xfId="0" applyFont="1" applyBorder="1" applyAlignment="1">
      <alignment horizontal="left" vertical="top" wrapText="1"/>
    </xf>
    <xf numFmtId="0" fontId="12" fillId="0" borderId="54" xfId="0" applyFont="1" applyBorder="1" applyAlignment="1">
      <alignment horizontal="left" vertical="top" wrapText="1"/>
    </xf>
    <xf numFmtId="0" fontId="12" fillId="0" borderId="55" xfId="0" applyFont="1" applyBorder="1" applyAlignment="1">
      <alignment horizontal="left" vertical="top" wrapText="1"/>
    </xf>
    <xf numFmtId="0" fontId="12" fillId="0" borderId="57" xfId="0" applyFont="1" applyBorder="1" applyAlignment="1">
      <alignment horizontal="left" vertical="top" wrapText="1"/>
    </xf>
    <xf numFmtId="0" fontId="12" fillId="0" borderId="58" xfId="0" applyFont="1" applyBorder="1" applyAlignment="1">
      <alignment horizontal="left" vertical="top" wrapText="1"/>
    </xf>
    <xf numFmtId="0" fontId="12" fillId="0" borderId="59" xfId="0" applyFont="1" applyBorder="1" applyAlignment="1">
      <alignment horizontal="left" vertical="top" wrapText="1"/>
    </xf>
    <xf numFmtId="1" fontId="24" fillId="0" borderId="10" xfId="0" applyNumberFormat="1" applyFont="1" applyBorder="1" applyAlignment="1" applyProtection="1">
      <alignment horizontal="right"/>
    </xf>
    <xf numFmtId="1" fontId="24" fillId="0" borderId="9" xfId="0" applyNumberFormat="1" applyFont="1" applyBorder="1" applyAlignment="1" applyProtection="1">
      <alignment horizontal="right"/>
    </xf>
    <xf numFmtId="0" fontId="12" fillId="0" borderId="56" xfId="0" applyFont="1" applyBorder="1" applyAlignment="1">
      <alignment horizontal="left" vertical="top" wrapText="1"/>
    </xf>
    <xf numFmtId="0" fontId="12" fillId="0" borderId="0" xfId="0" applyFont="1" applyBorder="1" applyAlignment="1">
      <alignment horizontal="left" vertical="top" wrapText="1"/>
    </xf>
    <xf numFmtId="0" fontId="12" fillId="0" borderId="21" xfId="0" applyFont="1" applyBorder="1" applyAlignment="1">
      <alignment horizontal="left" vertical="top" wrapText="1"/>
    </xf>
    <xf numFmtId="0" fontId="12" fillId="0" borderId="0" xfId="0" applyFont="1" applyAlignment="1">
      <alignment horizontal="right"/>
    </xf>
    <xf numFmtId="0" fontId="22" fillId="0" borderId="0" xfId="0" applyFont="1" applyBorder="1" applyAlignment="1">
      <alignment horizontal="center" vertical="center"/>
    </xf>
    <xf numFmtId="0" fontId="6" fillId="3" borderId="3" xfId="0" applyFont="1" applyFill="1" applyBorder="1" applyAlignment="1" applyProtection="1">
      <alignment horizontal="center" vertical="center"/>
      <protection locked="0"/>
    </xf>
    <xf numFmtId="0" fontId="6" fillId="3" borderId="61" xfId="0" applyFont="1" applyFill="1" applyBorder="1" applyAlignment="1" applyProtection="1">
      <alignment horizontal="center" vertical="center"/>
      <protection locked="0"/>
    </xf>
    <xf numFmtId="0" fontId="4" fillId="0" borderId="0" xfId="0" applyFont="1" applyAlignment="1" applyProtection="1">
      <alignment horizontal="left" indent="5"/>
      <protection locked="0"/>
    </xf>
    <xf numFmtId="0" fontId="1" fillId="0" borderId="6" xfId="1" applyBorder="1" applyAlignment="1" applyProtection="1">
      <alignment horizontal="left"/>
    </xf>
    <xf numFmtId="0" fontId="5" fillId="0" borderId="6" xfId="0" applyFont="1" applyBorder="1" applyAlignment="1" applyProtection="1">
      <alignment horizontal="left"/>
    </xf>
    <xf numFmtId="0" fontId="9" fillId="2" borderId="0" xfId="0" applyFont="1" applyFill="1" applyAlignment="1" applyProtection="1">
      <alignment horizontal="left" vertical="center" wrapText="1"/>
      <protection locked="0"/>
    </xf>
    <xf numFmtId="0" fontId="5" fillId="0" borderId="1" xfId="0" applyFont="1" applyBorder="1" applyAlignment="1" applyProtection="1">
      <alignment horizontal="left"/>
    </xf>
    <xf numFmtId="17" fontId="5" fillId="0" borderId="1" xfId="0" applyNumberFormat="1" applyFont="1" applyBorder="1" applyAlignment="1" applyProtection="1">
      <alignment horizontal="left"/>
      <protection locked="0"/>
    </xf>
    <xf numFmtId="0" fontId="5" fillId="0" borderId="1" xfId="0" applyNumberFormat="1" applyFont="1" applyBorder="1" applyAlignment="1" applyProtection="1">
      <alignment horizontal="left"/>
      <protection locked="0"/>
    </xf>
    <xf numFmtId="170" fontId="5" fillId="0" borderId="1" xfId="0" applyNumberFormat="1" applyFont="1" applyBorder="1" applyAlignment="1" applyProtection="1">
      <alignment horizontal="left"/>
      <protection locked="0"/>
    </xf>
    <xf numFmtId="0" fontId="5" fillId="0" borderId="0" xfId="0" applyFont="1" applyAlignment="1">
      <alignment horizontal="left" wrapText="1"/>
    </xf>
    <xf numFmtId="167" fontId="2" fillId="6" borderId="10" xfId="0" applyNumberFormat="1" applyFont="1" applyFill="1" applyBorder="1" applyAlignment="1">
      <alignment horizontal="center" vertical="center"/>
    </xf>
    <xf numFmtId="167" fontId="2" fillId="6" borderId="17" xfId="0" applyNumberFormat="1" applyFont="1" applyFill="1" applyBorder="1" applyAlignment="1">
      <alignment horizontal="center" vertical="center"/>
    </xf>
    <xf numFmtId="167" fontId="2" fillId="6" borderId="9" xfId="0" applyNumberFormat="1" applyFont="1" applyFill="1" applyBorder="1" applyAlignment="1">
      <alignment horizontal="center" vertical="center"/>
    </xf>
    <xf numFmtId="167" fontId="2" fillId="6" borderId="15" xfId="0" applyNumberFormat="1" applyFont="1" applyFill="1" applyBorder="1" applyAlignment="1">
      <alignment horizontal="center" vertical="center"/>
    </xf>
    <xf numFmtId="167" fontId="2" fillId="6" borderId="16" xfId="0" applyNumberFormat="1" applyFont="1" applyFill="1" applyBorder="1" applyAlignment="1">
      <alignment horizontal="center" vertical="center"/>
    </xf>
    <xf numFmtId="167" fontId="2" fillId="6" borderId="14" xfId="0" applyNumberFormat="1" applyFont="1" applyFill="1" applyBorder="1" applyAlignment="1">
      <alignment horizontal="center" vertical="center"/>
    </xf>
    <xf numFmtId="167" fontId="2" fillId="6" borderId="13" xfId="0" applyNumberFormat="1" applyFont="1" applyFill="1" applyBorder="1" applyAlignment="1">
      <alignment horizontal="center" vertical="center"/>
    </xf>
    <xf numFmtId="167" fontId="2" fillId="6" borderId="7" xfId="0" applyNumberFormat="1" applyFont="1" applyFill="1" applyBorder="1" applyAlignment="1">
      <alignment horizontal="center" vertical="center"/>
    </xf>
    <xf numFmtId="167" fontId="2" fillId="6" borderId="11" xfId="0" applyNumberFormat="1" applyFont="1" applyFill="1" applyBorder="1" applyAlignment="1">
      <alignment horizontal="center" vertical="center"/>
    </xf>
    <xf numFmtId="167" fontId="2" fillId="6" borderId="19" xfId="0" applyNumberFormat="1" applyFont="1" applyFill="1" applyBorder="1" applyAlignment="1">
      <alignment horizontal="center" vertical="center" wrapText="1"/>
    </xf>
    <xf numFmtId="167" fontId="2" fillId="6" borderId="18" xfId="0" applyNumberFormat="1" applyFont="1" applyFill="1" applyBorder="1" applyAlignment="1">
      <alignment horizontal="center" vertical="center" wrapText="1"/>
    </xf>
    <xf numFmtId="167" fontId="2" fillId="6" borderId="5" xfId="0" applyNumberFormat="1" applyFont="1" applyFill="1" applyBorder="1" applyAlignment="1">
      <alignment horizontal="center" vertical="center" wrapText="1"/>
    </xf>
    <xf numFmtId="0" fontId="9" fillId="2" borderId="0" xfId="0" applyFont="1" applyFill="1" applyAlignment="1">
      <alignment horizontal="left" vertical="center" wrapText="1"/>
    </xf>
  </cellXfs>
  <cellStyles count="2">
    <cellStyle name="Hyperlink" xfId="1" builtinId="8"/>
    <cellStyle name="Normal" xfId="0" builtinId="0"/>
  </cellStyles>
  <dxfs count="14">
    <dxf>
      <font>
        <b/>
        <i/>
        <color auto="1"/>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b/>
        <i/>
        <color auto="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6896CE"/>
      <rgbColor rgb="00FFFF00"/>
      <rgbColor rgb="00FF00FF"/>
      <rgbColor rgb="0000FFFF"/>
      <rgbColor rgb="00800000"/>
      <rgbColor rgb="00547D92"/>
      <rgbColor rgb="00C2D5E0"/>
      <rgbColor rgb="0037525F"/>
      <rgbColor rgb="00BCBCBC"/>
      <rgbColor rgb="00008080"/>
      <rgbColor rgb="00E0E0E0"/>
      <rgbColor rgb="0096969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EFCF2"/>
      <rgbColor rgb="00CCFFCC"/>
      <rgbColor rgb="00FFE7BD"/>
      <rgbColor rgb="00FCFAF2"/>
      <rgbColor rgb="00FF99CC"/>
      <rgbColor rgb="00EAEAEA"/>
      <rgbColor rgb="00FDF7DF"/>
      <rgbColor rgb="003366FF"/>
      <rgbColor rgb="0033CCCC"/>
      <rgbColor rgb="0099CC00"/>
      <rgbColor rgb="00FFCC00"/>
      <rgbColor rgb="00FF9900"/>
      <rgbColor rgb="00FF6600"/>
      <rgbColor rgb="00FBF8EF"/>
      <rgbColor rgb="00CFCFCF"/>
      <rgbColor rgb="00315D71"/>
      <rgbColor rgb="00339966"/>
      <rgbColor rgb="00739ED3"/>
      <rgbColor rgb="00ECF5D7"/>
      <rgbColor rgb="00993300"/>
      <rgbColor rgb="00993366"/>
      <rgbColor rgb="00F1F6F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oliday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twoCellAnchor>
    <xdr:from>
      <xdr:col>1</xdr:col>
      <xdr:colOff>981075</xdr:colOff>
      <xdr:row>14</xdr:row>
      <xdr:rowOff>238125</xdr:rowOff>
    </xdr:from>
    <xdr:to>
      <xdr:col>3</xdr:col>
      <xdr:colOff>790575</xdr:colOff>
      <xdr:row>21</xdr:row>
      <xdr:rowOff>200025</xdr:rowOff>
    </xdr:to>
    <xdr:sp macro="" textlink="">
      <xdr:nvSpPr>
        <xdr:cNvPr id="6" name="Ellipse 5"/>
        <xdr:cNvSpPr/>
      </xdr:nvSpPr>
      <xdr:spPr>
        <a:xfrm>
          <a:off x="1123950" y="3467100"/>
          <a:ext cx="16287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5</xdr:col>
      <xdr:colOff>47625</xdr:colOff>
      <xdr:row>15</xdr:row>
      <xdr:rowOff>9525</xdr:rowOff>
    </xdr:from>
    <xdr:to>
      <xdr:col>7</xdr:col>
      <xdr:colOff>19050</xdr:colOff>
      <xdr:row>21</xdr:row>
      <xdr:rowOff>238125</xdr:rowOff>
    </xdr:to>
    <xdr:sp macro="" textlink="">
      <xdr:nvSpPr>
        <xdr:cNvPr id="7" name="Ellipse 6"/>
        <xdr:cNvSpPr/>
      </xdr:nvSpPr>
      <xdr:spPr>
        <a:xfrm>
          <a:off x="3667125" y="3505200"/>
          <a:ext cx="16287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9</xdr:col>
      <xdr:colOff>85725</xdr:colOff>
      <xdr:row>15</xdr:row>
      <xdr:rowOff>38100</xdr:rowOff>
    </xdr:from>
    <xdr:to>
      <xdr:col>9</xdr:col>
      <xdr:colOff>800100</xdr:colOff>
      <xdr:row>22</xdr:row>
      <xdr:rowOff>0</xdr:rowOff>
    </xdr:to>
    <xdr:sp macro="" textlink="">
      <xdr:nvSpPr>
        <xdr:cNvPr id="8" name="Ellipse 7"/>
        <xdr:cNvSpPr/>
      </xdr:nvSpPr>
      <xdr:spPr>
        <a:xfrm>
          <a:off x="7019925" y="3533775"/>
          <a:ext cx="714375" cy="18288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15</xdr:col>
      <xdr:colOff>1</xdr:colOff>
      <xdr:row>0</xdr:row>
      <xdr:rowOff>0</xdr:rowOff>
    </xdr:from>
    <xdr:to>
      <xdr:col>17</xdr:col>
      <xdr:colOff>438151</xdr:colOff>
      <xdr:row>2</xdr:row>
      <xdr:rowOff>95250</xdr:rowOff>
    </xdr:to>
    <xdr:sp macro="" textlink="">
      <xdr:nvSpPr>
        <xdr:cNvPr id="9" name="Ellipse 8"/>
        <xdr:cNvSpPr/>
      </xdr:nvSpPr>
      <xdr:spPr>
        <a:xfrm>
          <a:off x="11572876" y="0"/>
          <a:ext cx="1657350" cy="7239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3</xdr:col>
      <xdr:colOff>38100</xdr:colOff>
      <xdr:row>8</xdr:row>
      <xdr:rowOff>85724</xdr:rowOff>
    </xdr:from>
    <xdr:to>
      <xdr:col>4</xdr:col>
      <xdr:colOff>57150</xdr:colOff>
      <xdr:row>13</xdr:row>
      <xdr:rowOff>152399</xdr:rowOff>
    </xdr:to>
    <xdr:sp macro="" textlink="">
      <xdr:nvSpPr>
        <xdr:cNvPr id="11" name="Ellipse 10"/>
        <xdr:cNvSpPr/>
      </xdr:nvSpPr>
      <xdr:spPr>
        <a:xfrm>
          <a:off x="2000250" y="2095499"/>
          <a:ext cx="847725" cy="1114425"/>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819150</xdr:colOff>
      <xdr:row>5</xdr:row>
      <xdr:rowOff>190500</xdr:rowOff>
    </xdr:from>
    <xdr:to>
      <xdr:col>12</xdr:col>
      <xdr:colOff>66675</xdr:colOff>
      <xdr:row>10</xdr:row>
      <xdr:rowOff>180975</xdr:rowOff>
    </xdr:to>
    <xdr:sp macro="" textlink="">
      <xdr:nvSpPr>
        <xdr:cNvPr id="12" name="Ellipse 11"/>
        <xdr:cNvSpPr/>
      </xdr:nvSpPr>
      <xdr:spPr>
        <a:xfrm>
          <a:off x="7753350" y="1571625"/>
          <a:ext cx="1838325" cy="1038225"/>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0</xdr:colOff>
      <xdr:row>11</xdr:row>
      <xdr:rowOff>190499</xdr:rowOff>
    </xdr:from>
    <xdr:to>
      <xdr:col>6</xdr:col>
      <xdr:colOff>190500</xdr:colOff>
      <xdr:row>13</xdr:row>
      <xdr:rowOff>0</xdr:rowOff>
    </xdr:to>
    <xdr:sp macro="" textlink="">
      <xdr:nvSpPr>
        <xdr:cNvPr id="13" name="Ellipse 12"/>
        <xdr:cNvSpPr/>
      </xdr:nvSpPr>
      <xdr:spPr>
        <a:xfrm>
          <a:off x="3619500" y="2828924"/>
          <a:ext cx="1019175" cy="228601"/>
        </a:xfrm>
        <a:prstGeom prst="ellipse">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0</xdr:colOff>
      <xdr:row>3</xdr:row>
      <xdr:rowOff>0</xdr:rowOff>
    </xdr:from>
    <xdr:to>
      <xdr:col>17</xdr:col>
      <xdr:colOff>438150</xdr:colOff>
      <xdr:row>6</xdr:row>
      <xdr:rowOff>123825</xdr:rowOff>
    </xdr:to>
    <xdr:sp macro="" textlink="">
      <xdr:nvSpPr>
        <xdr:cNvPr id="14" name="Ellipse 13"/>
        <xdr:cNvSpPr/>
      </xdr:nvSpPr>
      <xdr:spPr>
        <a:xfrm>
          <a:off x="11572875" y="990600"/>
          <a:ext cx="1657350" cy="723900"/>
        </a:xfrm>
        <a:prstGeom prst="ellipse">
          <a:avLst/>
        </a:prstGeom>
        <a:noFill/>
        <a:ln>
          <a:solidFill>
            <a:schemeClr val="bg1">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2</xdr:col>
      <xdr:colOff>733425</xdr:colOff>
      <xdr:row>4</xdr:row>
      <xdr:rowOff>161925</xdr:rowOff>
    </xdr:from>
    <xdr:to>
      <xdr:col>4</xdr:col>
      <xdr:colOff>314325</xdr:colOff>
      <xdr:row>6</xdr:row>
      <xdr:rowOff>180975</xdr:rowOff>
    </xdr:to>
    <xdr:sp macro="" textlink="">
      <xdr:nvSpPr>
        <xdr:cNvPr id="15" name="Legende mit Linie 1 14">
          <a:hlinkClick xmlns:r="http://schemas.openxmlformats.org/officeDocument/2006/relationships" r:id="rId2"/>
        </xdr:cNvPr>
        <xdr:cNvSpPr/>
      </xdr:nvSpPr>
      <xdr:spPr>
        <a:xfrm>
          <a:off x="1866900" y="1333500"/>
          <a:ext cx="1238250" cy="438150"/>
        </a:xfrm>
        <a:prstGeom prst="borderCallout1">
          <a:avLst>
            <a:gd name="adj1" fmla="val 125272"/>
            <a:gd name="adj2" fmla="val 46282"/>
            <a:gd name="adj3" fmla="val 375042"/>
            <a:gd name="adj4" fmla="val 39895"/>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000">
              <a:solidFill>
                <a:schemeClr val="tx1"/>
              </a:solidFill>
            </a:rPr>
            <a:t>see table </a:t>
          </a:r>
          <a:r>
            <a:rPr lang="de-DE" sz="1000" u="sng">
              <a:solidFill>
                <a:srgbClr val="0070C0"/>
              </a:solidFill>
            </a:rPr>
            <a:t>"Holidays"</a:t>
          </a:r>
          <a:r>
            <a:rPr lang="de-DE" sz="1000" baseline="0">
              <a:solidFill>
                <a:schemeClr val="tx1"/>
              </a:solidFill>
            </a:rPr>
            <a:t> on separate Sheet</a:t>
          </a:r>
          <a:endParaRPr lang="de-DE" sz="1000">
            <a:solidFill>
              <a:schemeClr val="tx1"/>
            </a:solidFill>
          </a:endParaRPr>
        </a:p>
      </xdr:txBody>
    </xdr:sp>
    <xdr:clientData/>
  </xdr:twoCellAnchor>
  <xdr:twoCellAnchor>
    <xdr:from>
      <xdr:col>4</xdr:col>
      <xdr:colOff>704850</xdr:colOff>
      <xdr:row>10</xdr:row>
      <xdr:rowOff>161925</xdr:rowOff>
    </xdr:from>
    <xdr:to>
      <xdr:col>6</xdr:col>
      <xdr:colOff>66675</xdr:colOff>
      <xdr:row>11</xdr:row>
      <xdr:rowOff>180976</xdr:rowOff>
    </xdr:to>
    <xdr:sp macro="" textlink="">
      <xdr:nvSpPr>
        <xdr:cNvPr id="16" name="Ellipse 15"/>
        <xdr:cNvSpPr/>
      </xdr:nvSpPr>
      <xdr:spPr>
        <a:xfrm>
          <a:off x="3495675" y="2590800"/>
          <a:ext cx="1019175" cy="228601"/>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xdr:from>
          <xdr:col>21</xdr:col>
          <xdr:colOff>133350</xdr:colOff>
          <xdr:row>11</xdr:row>
          <xdr:rowOff>184150</xdr:rowOff>
        </xdr:from>
        <xdr:to>
          <xdr:col>24</xdr:col>
          <xdr:colOff>12700</xdr:colOff>
          <xdr:row>13</xdr:row>
          <xdr:rowOff>76200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146050</xdr:colOff>
          <xdr:row>14</xdr:row>
          <xdr:rowOff>19050</xdr:rowOff>
        </xdr:from>
        <xdr:to>
          <xdr:col>24</xdr:col>
          <xdr:colOff>31750</xdr:colOff>
          <xdr:row>15</xdr:row>
          <xdr:rowOff>57150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Unprotect</a:t>
              </a:r>
            </a:p>
          </xdr:txBody>
        </xdr:sp>
        <xdr:clientData fPrintsWithSheet="0"/>
      </xdr:twoCellAnchor>
    </mc:Choice>
    <mc:Fallback/>
  </mc:AlternateContent>
  <xdr:twoCellAnchor>
    <xdr:from>
      <xdr:col>15</xdr:col>
      <xdr:colOff>1</xdr:colOff>
      <xdr:row>0</xdr:row>
      <xdr:rowOff>0</xdr:rowOff>
    </xdr:from>
    <xdr:to>
      <xdr:col>17</xdr:col>
      <xdr:colOff>438151</xdr:colOff>
      <xdr:row>2</xdr:row>
      <xdr:rowOff>95250</xdr:rowOff>
    </xdr:to>
    <xdr:sp macro="" textlink="">
      <xdr:nvSpPr>
        <xdr:cNvPr id="17" name="Ellipse 16"/>
        <xdr:cNvSpPr/>
      </xdr:nvSpPr>
      <xdr:spPr>
        <a:xfrm>
          <a:off x="11572876" y="0"/>
          <a:ext cx="1657350" cy="723900"/>
        </a:xfrm>
        <a:prstGeom prst="ellipse">
          <a:avLst/>
        </a:prstGeom>
        <a:noFill/>
        <a:ln>
          <a:solidFill>
            <a:schemeClr val="bg1">
              <a:lumMod val="8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15</xdr:col>
      <xdr:colOff>0</xdr:colOff>
      <xdr:row>3</xdr:row>
      <xdr:rowOff>0</xdr:rowOff>
    </xdr:from>
    <xdr:to>
      <xdr:col>17</xdr:col>
      <xdr:colOff>438150</xdr:colOff>
      <xdr:row>6</xdr:row>
      <xdr:rowOff>123825</xdr:rowOff>
    </xdr:to>
    <xdr:sp macro="" textlink="">
      <xdr:nvSpPr>
        <xdr:cNvPr id="18" name="Ellipse 17"/>
        <xdr:cNvSpPr/>
      </xdr:nvSpPr>
      <xdr:spPr>
        <a:xfrm>
          <a:off x="11572875" y="990600"/>
          <a:ext cx="1657350" cy="723900"/>
        </a:xfrm>
        <a:prstGeom prst="ellipse">
          <a:avLst/>
        </a:prstGeom>
        <a:noFill/>
        <a:ln>
          <a:solidFill>
            <a:schemeClr val="bg1">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de-DE" sz="1100"/>
        </a:p>
      </xdr:txBody>
    </xdr:sp>
    <xdr:clientData/>
  </xdr:twoCellAnchor>
  <xdr:twoCellAnchor>
    <xdr:from>
      <xdr:col>20</xdr:col>
      <xdr:colOff>523875</xdr:colOff>
      <xdr:row>13</xdr:row>
      <xdr:rowOff>38100</xdr:rowOff>
    </xdr:from>
    <xdr:to>
      <xdr:col>20</xdr:col>
      <xdr:colOff>857250</xdr:colOff>
      <xdr:row>13</xdr:row>
      <xdr:rowOff>38101</xdr:rowOff>
    </xdr:to>
    <xdr:cxnSp macro="">
      <xdr:nvCxnSpPr>
        <xdr:cNvPr id="19" name="Gerade Verbindung mit Pfeil 18"/>
        <xdr:cNvCxnSpPr/>
      </xdr:nvCxnSpPr>
      <xdr:spPr>
        <a:xfrm flipV="1">
          <a:off x="15240000" y="3095625"/>
          <a:ext cx="333375" cy="1"/>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4</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8625" y="0"/>
          <a:ext cx="533400" cy="533400"/>
        </a:xfrm>
        <a:prstGeom prst="rect">
          <a:avLst/>
        </a:prstGeom>
      </xdr:spPr>
    </xdr:pic>
    <xdr:clientData/>
  </xdr:twoCellAnchor>
  <xdr:twoCellAnchor editAs="oneCell">
    <xdr:from>
      <xdr:col>2</xdr:col>
      <xdr:colOff>0</xdr:colOff>
      <xdr:row>0</xdr:row>
      <xdr:rowOff>0</xdr:rowOff>
    </xdr:from>
    <xdr:to>
      <xdr:col>4</xdr:col>
      <xdr:colOff>104775</xdr:colOff>
      <xdr:row>1</xdr:row>
      <xdr:rowOff>95250</xdr:rowOff>
    </xdr:to>
    <xdr:pic>
      <xdr:nvPicPr>
        <xdr:cNvPr id="3" name="Grafik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0"/>
          <a:ext cx="533400" cy="5334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533400</xdr:colOff>
      <xdr:row>1</xdr:row>
      <xdr:rowOff>95250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0"/>
          <a:ext cx="533400" cy="533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fapswiki/mediawiki/index.php/Personal" TargetMode="External"/><Relationship Id="rId1" Type="http://schemas.openxmlformats.org/officeDocument/2006/relationships/hyperlink" Target="file:///C:\Users\mabrandmeier\AppData\Local\Microsoft\Windows\Temporary%20Internet%20Files\Content.Outlook\Bestellungen\Lieferanten_Online-Zug&#228;nge-Kundennrn.xls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www.zuv.fau.de/einrichtungen/personalabteilung/handbuch-personal/nebenberufliche-hilfskraefte/"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mailto:mustermann@faps.fau.de" TargetMode="External"/><Relationship Id="rId1" Type="http://schemas.openxmlformats.org/officeDocument/2006/relationships/hyperlink" Target="mailto:student@gmx.de" TargetMode="Externa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theme="0" tint="-0.14999847407452621"/>
    <pageSetUpPr fitToPage="1"/>
  </sheetPr>
  <dimension ref="A1:V53"/>
  <sheetViews>
    <sheetView showGridLines="0" showZeros="0" workbookViewId="0"/>
  </sheetViews>
  <sheetFormatPr defaultColWidth="9.1796875" defaultRowHeight="12.5" x14ac:dyDescent="0.25"/>
  <cols>
    <col min="1" max="1" width="2.1796875" style="1" customWidth="1"/>
    <col min="2" max="2" width="14.81640625" style="1" customWidth="1"/>
    <col min="3" max="9" width="12.453125" style="1" customWidth="1"/>
    <col min="10" max="10" width="13.453125" style="1" customWidth="1"/>
    <col min="11" max="11" width="13" style="1" customWidth="1"/>
    <col min="12" max="13" width="12.453125" style="1" customWidth="1"/>
    <col min="14" max="20" width="9.1796875" style="1"/>
    <col min="21" max="21" width="14.54296875" style="1" customWidth="1"/>
    <col min="22" max="16384" width="9.1796875" style="1"/>
  </cols>
  <sheetData>
    <row r="1" spans="1:21" ht="34.5" customHeight="1" x14ac:dyDescent="0.4">
      <c r="A1" s="110"/>
      <c r="B1" s="110"/>
      <c r="C1" s="110"/>
      <c r="D1" s="110"/>
      <c r="E1" s="110"/>
      <c r="F1" s="110"/>
      <c r="G1" s="110"/>
      <c r="H1" s="110"/>
      <c r="I1" s="110"/>
      <c r="J1" s="110"/>
      <c r="K1" s="110"/>
      <c r="L1" s="111" t="s">
        <v>25</v>
      </c>
      <c r="M1" s="110"/>
      <c r="N1" s="110"/>
      <c r="O1" s="146">
        <v>1</v>
      </c>
      <c r="P1" s="110"/>
      <c r="Q1" s="110"/>
      <c r="R1" s="110"/>
      <c r="S1" s="110" t="s">
        <v>50</v>
      </c>
      <c r="T1" s="110"/>
      <c r="U1" s="110"/>
    </row>
    <row r="2" spans="1:21" ht="15" customHeight="1" x14ac:dyDescent="0.6">
      <c r="A2" s="110"/>
      <c r="B2" s="110"/>
      <c r="C2" s="110"/>
      <c r="D2" s="110"/>
      <c r="E2" s="110"/>
      <c r="F2" s="110"/>
      <c r="G2" s="110"/>
      <c r="H2" s="110"/>
      <c r="I2" s="110"/>
      <c r="J2" s="110"/>
      <c r="K2" s="110"/>
      <c r="L2" s="110"/>
      <c r="M2" s="112"/>
      <c r="N2" s="110"/>
      <c r="O2" s="110"/>
      <c r="P2" s="110"/>
      <c r="Q2" s="110"/>
      <c r="R2" s="110"/>
      <c r="S2" s="110"/>
      <c r="T2" s="110"/>
      <c r="U2" s="110"/>
    </row>
    <row r="3" spans="1:21" ht="28.5" customHeight="1" x14ac:dyDescent="0.25">
      <c r="A3" s="110"/>
      <c r="B3" s="191" t="s">
        <v>1</v>
      </c>
      <c r="C3" s="191"/>
      <c r="D3" s="191"/>
      <c r="E3" s="191"/>
      <c r="F3" s="191"/>
      <c r="G3" s="191"/>
      <c r="H3" s="113"/>
      <c r="I3" s="110"/>
      <c r="J3" s="110"/>
      <c r="K3" s="110"/>
      <c r="L3" s="110"/>
      <c r="M3" s="110"/>
      <c r="N3" s="110"/>
      <c r="O3" s="110"/>
      <c r="P3" s="110"/>
      <c r="Q3" s="110"/>
      <c r="R3" s="110"/>
      <c r="S3" s="110"/>
      <c r="T3" s="110"/>
      <c r="U3" s="110"/>
    </row>
    <row r="4" spans="1:21" ht="14.25" customHeight="1" x14ac:dyDescent="0.25">
      <c r="A4" s="110"/>
      <c r="B4" s="110"/>
      <c r="C4" s="110"/>
      <c r="D4" s="110"/>
      <c r="E4" s="110"/>
      <c r="F4" s="110"/>
      <c r="G4" s="110"/>
      <c r="H4" s="110"/>
      <c r="I4" s="110"/>
      <c r="J4" s="110"/>
      <c r="K4" s="110"/>
      <c r="L4" s="110"/>
      <c r="M4" s="110"/>
      <c r="N4" s="110"/>
      <c r="O4" s="110"/>
      <c r="P4" s="110"/>
      <c r="Q4" s="110"/>
      <c r="R4" s="110"/>
      <c r="S4" s="110"/>
      <c r="T4" s="110"/>
      <c r="U4" s="110"/>
    </row>
    <row r="5" spans="1:21" ht="17.149999999999999" customHeight="1" x14ac:dyDescent="0.25">
      <c r="A5" s="110"/>
      <c r="B5" s="192" t="s">
        <v>2</v>
      </c>
      <c r="C5" s="192"/>
      <c r="D5" s="192"/>
      <c r="E5" s="114"/>
      <c r="F5" s="110"/>
      <c r="G5" s="110"/>
      <c r="H5" s="110"/>
      <c r="I5" s="193" t="s">
        <v>14</v>
      </c>
      <c r="J5" s="193"/>
      <c r="K5" s="194" t="s">
        <v>9</v>
      </c>
      <c r="L5" s="194"/>
      <c r="M5" s="110"/>
      <c r="N5" s="110"/>
      <c r="O5" s="110"/>
      <c r="P5" s="110"/>
      <c r="Q5" s="110"/>
      <c r="R5" s="110"/>
      <c r="S5" s="110" t="s">
        <v>51</v>
      </c>
      <c r="T5" s="110"/>
      <c r="U5" s="110"/>
    </row>
    <row r="6" spans="1:21" ht="17.149999999999999" customHeight="1" x14ac:dyDescent="0.25">
      <c r="A6" s="110"/>
      <c r="B6" s="192" t="s">
        <v>3</v>
      </c>
      <c r="C6" s="192"/>
      <c r="D6" s="192"/>
      <c r="E6" s="114"/>
      <c r="F6" s="110"/>
      <c r="G6" s="110"/>
      <c r="H6" s="110"/>
      <c r="I6" s="145"/>
      <c r="J6" s="145"/>
      <c r="K6" s="115"/>
      <c r="L6" s="115"/>
      <c r="M6" s="110"/>
      <c r="N6" s="110"/>
      <c r="O6" s="110"/>
      <c r="P6" s="110"/>
      <c r="Q6" s="110"/>
      <c r="R6" s="110"/>
      <c r="S6" s="110"/>
      <c r="T6" s="110"/>
      <c r="U6" s="110"/>
    </row>
    <row r="7" spans="1:21" ht="17.149999999999999" customHeight="1" x14ac:dyDescent="0.25">
      <c r="A7" s="110"/>
      <c r="B7" s="192"/>
      <c r="C7" s="192"/>
      <c r="D7" s="192"/>
      <c r="E7" s="114"/>
      <c r="F7" s="110"/>
      <c r="G7" s="110"/>
      <c r="H7" s="110"/>
      <c r="I7" s="193" t="s">
        <v>37</v>
      </c>
      <c r="J7" s="193"/>
      <c r="K7" s="210" t="s">
        <v>5</v>
      </c>
      <c r="L7" s="210"/>
      <c r="M7" s="110"/>
      <c r="N7" s="110"/>
      <c r="O7" s="110"/>
      <c r="P7" s="110"/>
      <c r="Q7" s="110"/>
      <c r="R7" s="110"/>
      <c r="S7" s="110"/>
      <c r="T7" s="110"/>
      <c r="U7" s="110"/>
    </row>
    <row r="8" spans="1:21" ht="17.149999999999999" customHeight="1" x14ac:dyDescent="0.25">
      <c r="A8" s="110"/>
      <c r="B8" s="110"/>
      <c r="C8" s="110"/>
      <c r="D8" s="110"/>
      <c r="E8" s="110"/>
      <c r="F8" s="110"/>
      <c r="G8" s="110"/>
      <c r="H8" s="110"/>
      <c r="I8" s="193"/>
      <c r="J8" s="193"/>
      <c r="K8" s="207"/>
      <c r="L8" s="208"/>
      <c r="M8" s="110"/>
      <c r="N8" s="110"/>
      <c r="O8" s="110"/>
      <c r="P8" s="110"/>
      <c r="Q8" s="110"/>
      <c r="R8" s="110"/>
      <c r="S8" s="110"/>
      <c r="T8" s="110"/>
      <c r="U8" s="110"/>
    </row>
    <row r="9" spans="1:21" ht="17.149999999999999" customHeight="1" x14ac:dyDescent="0.25">
      <c r="A9" s="110"/>
      <c r="B9" s="110"/>
      <c r="C9" s="110"/>
      <c r="D9" s="110"/>
      <c r="E9" s="110"/>
      <c r="F9" s="110"/>
      <c r="G9" s="110"/>
      <c r="H9" s="110"/>
      <c r="I9" s="193" t="s">
        <v>24</v>
      </c>
      <c r="J9" s="193"/>
      <c r="K9" s="206" t="s">
        <v>6</v>
      </c>
      <c r="L9" s="206"/>
      <c r="M9" s="110"/>
      <c r="N9" s="110"/>
      <c r="O9" s="110"/>
      <c r="P9" s="110" t="s">
        <v>52</v>
      </c>
      <c r="Q9" s="110"/>
      <c r="R9" s="110"/>
      <c r="S9" s="110"/>
      <c r="T9" s="110"/>
      <c r="U9" s="110"/>
    </row>
    <row r="10" spans="1:21" ht="17.149999999999999" customHeight="1" x14ac:dyDescent="0.25">
      <c r="A10" s="110"/>
      <c r="B10" s="142" t="s">
        <v>15</v>
      </c>
      <c r="C10" s="31"/>
      <c r="D10" s="116">
        <v>4</v>
      </c>
      <c r="E10" s="117"/>
      <c r="F10" s="110"/>
      <c r="G10" s="110"/>
      <c r="H10" s="110"/>
      <c r="I10" s="193"/>
      <c r="J10" s="193"/>
      <c r="K10" s="207"/>
      <c r="L10" s="208"/>
      <c r="M10" s="110"/>
      <c r="N10" s="110"/>
      <c r="O10" s="110"/>
      <c r="P10" s="196" t="s">
        <v>55</v>
      </c>
      <c r="Q10" s="196"/>
      <c r="R10" s="196"/>
      <c r="S10" s="196"/>
      <c r="T10" s="196"/>
      <c r="U10" s="196"/>
    </row>
    <row r="11" spans="1:21" ht="17.149999999999999" customHeight="1" x14ac:dyDescent="0.25">
      <c r="A11" s="110"/>
      <c r="B11" s="195" t="s">
        <v>16</v>
      </c>
      <c r="C11" s="195"/>
      <c r="D11" s="118">
        <v>0.375</v>
      </c>
      <c r="E11" s="117"/>
      <c r="F11" s="110"/>
      <c r="G11" s="110"/>
      <c r="H11" s="110"/>
      <c r="I11" s="119"/>
      <c r="J11" s="119"/>
      <c r="K11" s="120"/>
      <c r="L11" s="121"/>
      <c r="M11" s="110"/>
      <c r="N11" s="110"/>
      <c r="P11" s="196"/>
      <c r="Q11" s="196"/>
      <c r="R11" s="196"/>
      <c r="S11" s="196"/>
      <c r="T11" s="196"/>
      <c r="U11" s="196"/>
    </row>
    <row r="12" spans="1:21" ht="17.149999999999999" customHeight="1" x14ac:dyDescent="0.25">
      <c r="A12" s="110"/>
      <c r="B12" s="142" t="s">
        <v>17</v>
      </c>
      <c r="C12" s="37"/>
      <c r="D12" s="122">
        <v>42005</v>
      </c>
      <c r="E12" s="123" t="s">
        <v>18</v>
      </c>
      <c r="F12" s="124">
        <v>42124</v>
      </c>
      <c r="G12" s="110"/>
      <c r="H12" s="110"/>
      <c r="I12" s="119"/>
      <c r="J12" s="119"/>
      <c r="K12" s="120"/>
      <c r="L12" s="121"/>
      <c r="M12" s="110"/>
      <c r="N12" s="110"/>
      <c r="O12" s="147"/>
      <c r="P12" s="148"/>
      <c r="Q12" s="110"/>
      <c r="R12" s="110"/>
      <c r="S12" s="110"/>
      <c r="T12" s="110"/>
      <c r="U12" s="110"/>
    </row>
    <row r="13" spans="1:21" ht="17.149999999999999" customHeight="1" x14ac:dyDescent="0.25">
      <c r="A13" s="110"/>
      <c r="B13" s="142" t="s">
        <v>19</v>
      </c>
      <c r="C13" s="37"/>
      <c r="D13" s="116">
        <v>5.3</v>
      </c>
      <c r="E13" s="125" t="s">
        <v>20</v>
      </c>
      <c r="F13" s="116">
        <v>1</v>
      </c>
      <c r="G13" s="38" t="s">
        <v>21</v>
      </c>
      <c r="H13" s="116">
        <f>J23</f>
        <v>0.3</v>
      </c>
      <c r="I13" s="38" t="s">
        <v>22</v>
      </c>
      <c r="J13" s="116">
        <f>D13-F13-H13</f>
        <v>4</v>
      </c>
      <c r="K13" s="120"/>
      <c r="L13" s="121"/>
      <c r="M13" s="110"/>
      <c r="N13" s="110"/>
      <c r="O13" s="197">
        <v>2</v>
      </c>
      <c r="P13" s="198" t="s">
        <v>54</v>
      </c>
      <c r="Q13" s="199"/>
      <c r="R13" s="199"/>
      <c r="S13" s="199"/>
      <c r="T13" s="199"/>
      <c r="U13" s="200"/>
    </row>
    <row r="14" spans="1:21" ht="13.5" customHeight="1" x14ac:dyDescent="0.25">
      <c r="A14" s="110"/>
      <c r="B14" s="110"/>
      <c r="C14" s="110"/>
      <c r="D14" s="110"/>
      <c r="E14" s="110"/>
      <c r="F14" s="110"/>
      <c r="G14" s="110"/>
      <c r="H14" s="110"/>
      <c r="I14" s="110"/>
      <c r="J14" s="110"/>
      <c r="K14" s="110"/>
      <c r="L14" s="110"/>
      <c r="M14" s="110"/>
      <c r="N14" s="110"/>
      <c r="O14" s="197"/>
      <c r="P14" s="201"/>
      <c r="Q14" s="202"/>
      <c r="R14" s="202"/>
      <c r="S14" s="202"/>
      <c r="T14" s="202"/>
      <c r="U14" s="203"/>
    </row>
    <row r="15" spans="1:21" ht="21" customHeight="1" x14ac:dyDescent="0.25">
      <c r="A15" s="110"/>
      <c r="B15" s="126" t="s">
        <v>41</v>
      </c>
      <c r="C15" s="127" t="s">
        <v>42</v>
      </c>
      <c r="D15" s="127" t="s">
        <v>43</v>
      </c>
      <c r="E15" s="128" t="s">
        <v>44</v>
      </c>
      <c r="F15" s="127" t="s">
        <v>42</v>
      </c>
      <c r="G15" s="127" t="s">
        <v>43</v>
      </c>
      <c r="H15" s="128" t="s">
        <v>45</v>
      </c>
      <c r="I15" s="129" t="s">
        <v>4</v>
      </c>
      <c r="J15" s="127" t="s">
        <v>46</v>
      </c>
      <c r="K15" s="127" t="s">
        <v>47</v>
      </c>
      <c r="L15" s="127" t="s">
        <v>48</v>
      </c>
      <c r="M15" s="110"/>
      <c r="N15" s="110"/>
      <c r="O15" s="197"/>
      <c r="P15" s="204" t="s">
        <v>56</v>
      </c>
      <c r="Q15" s="205"/>
      <c r="R15" s="205"/>
      <c r="S15" s="205"/>
      <c r="T15" s="205"/>
      <c r="U15" s="149" t="s">
        <v>53</v>
      </c>
    </row>
    <row r="16" spans="1:21" ht="21" customHeight="1" x14ac:dyDescent="0.25">
      <c r="A16" s="110"/>
      <c r="B16" s="130" t="s">
        <v>26</v>
      </c>
      <c r="C16" s="131"/>
      <c r="D16" s="131"/>
      <c r="E16" s="132">
        <f t="shared" ref="E16:E22" si="0">D16-C16</f>
        <v>0</v>
      </c>
      <c r="F16" s="133"/>
      <c r="G16" s="131"/>
      <c r="H16" s="132">
        <f t="shared" ref="H16:H22" si="1">G16-F16</f>
        <v>0</v>
      </c>
      <c r="I16" s="134"/>
      <c r="J16" s="135"/>
      <c r="K16" s="132" t="str">
        <f>IF(J16="","",J16*($D$11/$D$10))</f>
        <v/>
      </c>
      <c r="L16" s="134">
        <f>E16+H16-I16</f>
        <v>0</v>
      </c>
      <c r="M16" s="110"/>
      <c r="N16" s="110"/>
      <c r="O16" s="110"/>
      <c r="P16" s="209"/>
      <c r="Q16" s="209"/>
      <c r="R16" s="209"/>
      <c r="S16" s="209"/>
      <c r="T16" s="209"/>
      <c r="U16" s="209"/>
    </row>
    <row r="17" spans="1:21" ht="21" customHeight="1" x14ac:dyDescent="0.25">
      <c r="A17" s="110"/>
      <c r="B17" s="130" t="s">
        <v>27</v>
      </c>
      <c r="C17" s="131">
        <v>0.41666666666666669</v>
      </c>
      <c r="D17" s="131">
        <v>0.47916666666666669</v>
      </c>
      <c r="E17" s="132">
        <f t="shared" si="0"/>
        <v>6.25E-2</v>
      </c>
      <c r="F17" s="133"/>
      <c r="G17" s="131"/>
      <c r="H17" s="132">
        <f t="shared" si="1"/>
        <v>0</v>
      </c>
      <c r="I17" s="134">
        <v>2.0833333333333332E-2</v>
      </c>
      <c r="J17" s="135"/>
      <c r="K17" s="132" t="str">
        <f t="shared" ref="K17:K22" si="2">IF(J17="","",J17*($D$11/$D$10))</f>
        <v/>
      </c>
      <c r="L17" s="134">
        <f t="shared" ref="L17:L22" si="3">E17+H17-I17</f>
        <v>4.1666666666666671E-2</v>
      </c>
      <c r="M17" s="110"/>
      <c r="N17" s="110"/>
      <c r="O17" s="110"/>
      <c r="P17" s="157"/>
      <c r="Q17" s="110"/>
      <c r="R17" s="110"/>
      <c r="S17" s="110"/>
      <c r="T17" s="110"/>
      <c r="U17" s="110"/>
    </row>
    <row r="18" spans="1:21" ht="21" customHeight="1" x14ac:dyDescent="0.25">
      <c r="A18" s="110"/>
      <c r="B18" s="130" t="s">
        <v>28</v>
      </c>
      <c r="C18" s="131">
        <v>0.33333333333333331</v>
      </c>
      <c r="D18" s="131">
        <v>0.39583333333333331</v>
      </c>
      <c r="E18" s="132">
        <f t="shared" si="0"/>
        <v>6.25E-2</v>
      </c>
      <c r="F18" s="133">
        <v>0.58333333333333337</v>
      </c>
      <c r="G18" s="131">
        <v>0.625</v>
      </c>
      <c r="H18" s="132">
        <f t="shared" si="1"/>
        <v>4.166666666666663E-2</v>
      </c>
      <c r="I18" s="134"/>
      <c r="J18" s="135"/>
      <c r="K18" s="132" t="str">
        <f t="shared" si="2"/>
        <v/>
      </c>
      <c r="L18" s="134">
        <f t="shared" si="3"/>
        <v>0.10416666666666663</v>
      </c>
      <c r="M18" s="110"/>
      <c r="N18" s="110"/>
      <c r="O18" s="224">
        <v>3</v>
      </c>
      <c r="P18" s="212" t="s">
        <v>65</v>
      </c>
      <c r="Q18" s="213"/>
      <c r="R18" s="213"/>
      <c r="S18" s="213"/>
      <c r="T18" s="213"/>
      <c r="U18" s="214"/>
    </row>
    <row r="19" spans="1:21" ht="21" customHeight="1" x14ac:dyDescent="0.25">
      <c r="A19" s="110"/>
      <c r="B19" s="130" t="s">
        <v>29</v>
      </c>
      <c r="C19" s="131"/>
      <c r="D19" s="131"/>
      <c r="E19" s="132">
        <f t="shared" si="0"/>
        <v>0</v>
      </c>
      <c r="F19" s="133"/>
      <c r="G19" s="131"/>
      <c r="H19" s="132">
        <f t="shared" si="1"/>
        <v>0</v>
      </c>
      <c r="I19" s="134"/>
      <c r="J19" s="135">
        <v>0.3</v>
      </c>
      <c r="K19" s="132">
        <f t="shared" si="2"/>
        <v>2.8124999999999997E-2</v>
      </c>
      <c r="L19" s="134">
        <f t="shared" si="3"/>
        <v>0</v>
      </c>
      <c r="M19" s="110"/>
      <c r="N19" s="110"/>
      <c r="O19" s="224"/>
      <c r="P19" s="220"/>
      <c r="Q19" s="221"/>
      <c r="R19" s="221"/>
      <c r="S19" s="221"/>
      <c r="T19" s="221"/>
      <c r="U19" s="222"/>
    </row>
    <row r="20" spans="1:21" ht="21" customHeight="1" x14ac:dyDescent="0.25">
      <c r="A20" s="110"/>
      <c r="B20" s="130" t="s">
        <v>30</v>
      </c>
      <c r="C20" s="131">
        <v>0.375</v>
      </c>
      <c r="D20" s="131">
        <v>0.54166666666666663</v>
      </c>
      <c r="E20" s="132">
        <f t="shared" si="0"/>
        <v>0.16666666666666663</v>
      </c>
      <c r="F20" s="133"/>
      <c r="G20" s="131"/>
      <c r="H20" s="132">
        <f t="shared" si="1"/>
        <v>0</v>
      </c>
      <c r="I20" s="134"/>
      <c r="J20" s="135"/>
      <c r="K20" s="132" t="str">
        <f t="shared" si="2"/>
        <v/>
      </c>
      <c r="L20" s="134">
        <f t="shared" si="3"/>
        <v>0.16666666666666663</v>
      </c>
      <c r="M20" s="110"/>
      <c r="N20" s="110"/>
      <c r="O20" s="224"/>
      <c r="P20" s="220"/>
      <c r="Q20" s="221"/>
      <c r="R20" s="221"/>
      <c r="S20" s="221"/>
      <c r="T20" s="221"/>
      <c r="U20" s="222"/>
    </row>
    <row r="21" spans="1:21" ht="21" customHeight="1" x14ac:dyDescent="0.25">
      <c r="A21" s="110"/>
      <c r="B21" s="130" t="s">
        <v>31</v>
      </c>
      <c r="C21" s="131"/>
      <c r="D21" s="131"/>
      <c r="E21" s="132">
        <f t="shared" si="0"/>
        <v>0</v>
      </c>
      <c r="F21" s="133"/>
      <c r="G21" s="131"/>
      <c r="H21" s="132">
        <f t="shared" si="1"/>
        <v>0</v>
      </c>
      <c r="I21" s="134"/>
      <c r="J21" s="135"/>
      <c r="K21" s="132" t="str">
        <f t="shared" si="2"/>
        <v/>
      </c>
      <c r="L21" s="134">
        <f t="shared" si="3"/>
        <v>0</v>
      </c>
      <c r="M21" s="110"/>
      <c r="N21" s="110"/>
      <c r="O21" s="110"/>
      <c r="P21" s="215"/>
      <c r="Q21" s="216"/>
      <c r="R21" s="216"/>
      <c r="S21" s="216"/>
      <c r="T21" s="216"/>
      <c r="U21" s="217"/>
    </row>
    <row r="22" spans="1:21" ht="21" customHeight="1" x14ac:dyDescent="0.25">
      <c r="A22" s="110"/>
      <c r="B22" s="130" t="s">
        <v>32</v>
      </c>
      <c r="C22" s="131"/>
      <c r="D22" s="131"/>
      <c r="E22" s="132">
        <f t="shared" si="0"/>
        <v>0</v>
      </c>
      <c r="F22" s="133"/>
      <c r="G22" s="131"/>
      <c r="H22" s="132">
        <f t="shared" si="1"/>
        <v>0</v>
      </c>
      <c r="I22" s="134"/>
      <c r="J22" s="135"/>
      <c r="K22" s="132" t="str">
        <f t="shared" si="2"/>
        <v/>
      </c>
      <c r="L22" s="134">
        <f t="shared" si="3"/>
        <v>0</v>
      </c>
      <c r="M22" s="110"/>
      <c r="N22" s="110"/>
      <c r="O22" s="110"/>
    </row>
    <row r="23" spans="1:21" ht="21" customHeight="1" x14ac:dyDescent="0.25">
      <c r="A23" s="110"/>
      <c r="B23" s="110"/>
      <c r="C23" s="110"/>
      <c r="D23" s="110"/>
      <c r="E23" s="110"/>
      <c r="F23" s="110"/>
      <c r="G23" s="110"/>
      <c r="H23" s="110"/>
      <c r="I23" s="130" t="s">
        <v>49</v>
      </c>
      <c r="J23" s="136">
        <f>SUM(J16:J22)</f>
        <v>0.3</v>
      </c>
      <c r="K23" s="134">
        <f>SUM(K16:K22)</f>
        <v>2.8124999999999997E-2</v>
      </c>
      <c r="L23" s="134">
        <f>SUM(L16:L22)</f>
        <v>0.31249999999999994</v>
      </c>
      <c r="M23" s="110"/>
      <c r="N23" s="110"/>
      <c r="O23" s="110"/>
    </row>
    <row r="24" spans="1:21" ht="21" customHeight="1" x14ac:dyDescent="0.25">
      <c r="A24" s="110"/>
      <c r="B24" s="110"/>
      <c r="C24" s="110"/>
      <c r="D24" s="110"/>
      <c r="E24" s="110"/>
      <c r="F24" s="110"/>
      <c r="G24" s="110"/>
      <c r="H24" s="110"/>
      <c r="I24" s="110"/>
      <c r="J24" s="110"/>
      <c r="K24" s="130" t="s">
        <v>7</v>
      </c>
      <c r="L24" s="134">
        <f>L23+K23</f>
        <v>0.34062499999999996</v>
      </c>
      <c r="M24" s="137"/>
      <c r="N24" s="110"/>
      <c r="O24" s="110"/>
      <c r="P24" s="223" t="s">
        <v>67</v>
      </c>
      <c r="Q24" s="223"/>
      <c r="R24" s="223"/>
      <c r="S24" s="223"/>
      <c r="T24" s="158" t="s">
        <v>66</v>
      </c>
      <c r="U24" s="110"/>
    </row>
    <row r="26" spans="1:21" x14ac:dyDescent="0.25">
      <c r="G26" s="150" t="s">
        <v>58</v>
      </c>
      <c r="H26" s="151" t="s">
        <v>61</v>
      </c>
      <c r="I26" s="151" t="s">
        <v>62</v>
      </c>
      <c r="J26" s="151" t="s">
        <v>63</v>
      </c>
    </row>
    <row r="27" spans="1:21" x14ac:dyDescent="0.25">
      <c r="G27" s="150" t="s">
        <v>59</v>
      </c>
      <c r="H27" s="152">
        <v>53</v>
      </c>
      <c r="I27" s="153"/>
      <c r="J27" s="154" t="str">
        <f>IF(I27=0,"",((($D$11-I27)*24)*-1)*60)</f>
        <v/>
      </c>
    </row>
    <row r="28" spans="1:21" x14ac:dyDescent="0.25">
      <c r="G28" s="155"/>
      <c r="H28" s="152">
        <v>1</v>
      </c>
      <c r="I28" s="153"/>
      <c r="J28" s="154" t="str">
        <f t="shared" ref="J28:J31" si="4">IF(I28=0,"",((($D$11-I28)*24)*-1)*60)</f>
        <v/>
      </c>
      <c r="P28" s="138" t="s">
        <v>80</v>
      </c>
      <c r="Q28" s="138"/>
      <c r="R28" s="138"/>
      <c r="S28" s="138"/>
    </row>
    <row r="29" spans="1:21" x14ac:dyDescent="0.25">
      <c r="G29" s="155"/>
      <c r="H29" s="152">
        <f t="shared" ref="H29:H31" si="5">H28+1</f>
        <v>2</v>
      </c>
      <c r="I29" s="153">
        <v>0.3125</v>
      </c>
      <c r="J29" s="154">
        <f t="shared" si="4"/>
        <v>-90</v>
      </c>
      <c r="P29" s="211" t="s">
        <v>77</v>
      </c>
      <c r="Q29" s="211"/>
      <c r="R29" s="211"/>
      <c r="S29" s="211"/>
      <c r="T29" s="211"/>
      <c r="U29" s="211"/>
    </row>
    <row r="30" spans="1:21" x14ac:dyDescent="0.25">
      <c r="G30" s="155"/>
      <c r="H30" s="152">
        <f t="shared" si="5"/>
        <v>3</v>
      </c>
      <c r="I30" s="153"/>
      <c r="J30" s="154" t="str">
        <f t="shared" si="4"/>
        <v/>
      </c>
      <c r="P30" s="211"/>
      <c r="Q30" s="211"/>
      <c r="R30" s="211"/>
      <c r="S30" s="211"/>
      <c r="T30" s="211"/>
      <c r="U30" s="211"/>
    </row>
    <row r="31" spans="1:21" x14ac:dyDescent="0.25">
      <c r="G31" s="150" t="s">
        <v>60</v>
      </c>
      <c r="H31" s="152">
        <f t="shared" si="5"/>
        <v>4</v>
      </c>
      <c r="I31" s="153"/>
      <c r="J31" s="154" t="str">
        <f t="shared" si="4"/>
        <v/>
      </c>
      <c r="P31" s="212" t="s">
        <v>78</v>
      </c>
      <c r="Q31" s="213"/>
      <c r="R31" s="213"/>
      <c r="S31" s="213"/>
      <c r="T31" s="213"/>
      <c r="U31" s="214"/>
    </row>
    <row r="32" spans="1:21" x14ac:dyDescent="0.25">
      <c r="G32" s="155"/>
      <c r="H32" s="218" t="s">
        <v>64</v>
      </c>
      <c r="I32" s="219"/>
      <c r="J32" s="156">
        <f>SUM(J27:J31)</f>
        <v>-90</v>
      </c>
      <c r="P32" s="215"/>
      <c r="Q32" s="216"/>
      <c r="R32" s="216"/>
      <c r="S32" s="216"/>
      <c r="T32" s="216"/>
      <c r="U32" s="217"/>
    </row>
    <row r="33" spans="1:22" ht="55.5" customHeight="1" x14ac:dyDescent="0.25">
      <c r="A33" s="110"/>
      <c r="B33" s="138"/>
      <c r="C33" s="138"/>
      <c r="D33" s="138"/>
      <c r="E33" s="138"/>
      <c r="F33" s="138"/>
      <c r="G33" s="139"/>
      <c r="H33" s="139"/>
      <c r="I33" s="139"/>
      <c r="J33" s="140"/>
      <c r="K33" s="140"/>
      <c r="L33" s="141"/>
      <c r="M33" s="110"/>
      <c r="N33" s="110"/>
      <c r="O33" s="110"/>
      <c r="P33" s="212" t="s">
        <v>79</v>
      </c>
      <c r="Q33" s="213"/>
      <c r="R33" s="213"/>
      <c r="S33" s="213"/>
      <c r="T33" s="213"/>
      <c r="U33" s="214"/>
    </row>
    <row r="34" spans="1:22" x14ac:dyDescent="0.25">
      <c r="A34" s="110"/>
      <c r="B34" s="110"/>
      <c r="C34" s="110"/>
      <c r="D34" s="110"/>
      <c r="E34" s="110"/>
      <c r="F34" s="110"/>
      <c r="G34" s="51" t="s">
        <v>38</v>
      </c>
      <c r="H34" s="51"/>
      <c r="I34" s="52"/>
      <c r="J34" s="24"/>
      <c r="K34" s="24"/>
      <c r="L34" s="53" t="s">
        <v>40</v>
      </c>
      <c r="M34" s="110"/>
      <c r="N34" s="110"/>
      <c r="O34" s="110"/>
      <c r="P34" s="215"/>
      <c r="Q34" s="216"/>
      <c r="R34" s="216"/>
      <c r="S34" s="216"/>
      <c r="T34" s="216"/>
      <c r="U34" s="217"/>
    </row>
    <row r="35" spans="1:22" ht="55.5" customHeight="1" x14ac:dyDescent="0.25">
      <c r="A35" s="110"/>
      <c r="B35" s="138"/>
      <c r="C35" s="138"/>
      <c r="D35" s="138"/>
      <c r="E35" s="138"/>
      <c r="F35" s="138"/>
      <c r="G35" s="48"/>
      <c r="H35" s="48"/>
      <c r="I35" s="48"/>
      <c r="J35" s="49"/>
      <c r="K35" s="49"/>
      <c r="L35" s="50"/>
      <c r="M35" s="110"/>
      <c r="N35" s="110"/>
      <c r="O35" s="110"/>
      <c r="V35" s="17"/>
    </row>
    <row r="36" spans="1:22" x14ac:dyDescent="0.25">
      <c r="A36" s="110"/>
      <c r="B36" s="110"/>
      <c r="C36" s="110"/>
      <c r="D36" s="110"/>
      <c r="E36" s="110"/>
      <c r="F36" s="110"/>
      <c r="G36" s="51" t="s">
        <v>39</v>
      </c>
      <c r="H36" s="51"/>
      <c r="I36" s="52"/>
      <c r="J36" s="52"/>
      <c r="K36" s="52"/>
      <c r="L36" s="53" t="s">
        <v>40</v>
      </c>
      <c r="M36" s="110"/>
      <c r="N36" s="110"/>
      <c r="O36" s="110"/>
      <c r="V36" s="17"/>
    </row>
    <row r="37" spans="1:22" x14ac:dyDescent="0.25">
      <c r="A37" s="110"/>
      <c r="B37" s="110"/>
      <c r="C37" s="110"/>
      <c r="D37" s="110"/>
      <c r="E37" s="110"/>
      <c r="F37" s="110"/>
      <c r="G37" s="110"/>
      <c r="H37" s="110"/>
      <c r="I37" s="110"/>
      <c r="J37" s="110"/>
      <c r="K37" s="110"/>
      <c r="L37" s="110"/>
      <c r="M37" s="110"/>
      <c r="N37" s="110"/>
      <c r="O37" s="110"/>
    </row>
    <row r="39" spans="1:22" x14ac:dyDescent="0.25">
      <c r="D39" s="108"/>
    </row>
    <row r="46" spans="1:22" x14ac:dyDescent="0.25">
      <c r="D46" s="108"/>
    </row>
    <row r="48" spans="1:22" x14ac:dyDescent="0.25">
      <c r="D48" s="108"/>
      <c r="E48" s="108"/>
    </row>
    <row r="52" spans="4:5" x14ac:dyDescent="0.25">
      <c r="D52" s="108"/>
      <c r="E52" s="108"/>
    </row>
    <row r="53" spans="4:5" x14ac:dyDescent="0.25">
      <c r="D53" s="108"/>
      <c r="E53" s="108"/>
    </row>
  </sheetData>
  <sheetProtection algorithmName="SHA-512" hashValue="mBeAVIevXAVpM1ALg+abPAKQvha9xmHmY+LAgsEMy4SqgoZGzdUy7JHCR3P1quKGZeY5cGXkzBezX8Hof8xYNQ==" saltValue="dTcuoQQLh/DlH4Jl/TCQtg==" spinCount="100000" sheet="1" objects="1" scenarios="1"/>
  <mergeCells count="27">
    <mergeCell ref="P29:U30"/>
    <mergeCell ref="P31:U32"/>
    <mergeCell ref="P33:U34"/>
    <mergeCell ref="H32:I32"/>
    <mergeCell ref="P18:U21"/>
    <mergeCell ref="P24:S24"/>
    <mergeCell ref="O18:O20"/>
    <mergeCell ref="B7:D7"/>
    <mergeCell ref="I7:J7"/>
    <mergeCell ref="K7:L7"/>
    <mergeCell ref="I8:J8"/>
    <mergeCell ref="K8:L8"/>
    <mergeCell ref="I9:J9"/>
    <mergeCell ref="K9:L9"/>
    <mergeCell ref="I10:J10"/>
    <mergeCell ref="K10:L10"/>
    <mergeCell ref="P16:U16"/>
    <mergeCell ref="B11:C11"/>
    <mergeCell ref="P10:U11"/>
    <mergeCell ref="O13:O15"/>
    <mergeCell ref="P13:U14"/>
    <mergeCell ref="P15:T15"/>
    <mergeCell ref="B3:G3"/>
    <mergeCell ref="B5:D5"/>
    <mergeCell ref="I5:J5"/>
    <mergeCell ref="K5:L5"/>
    <mergeCell ref="B6:D6"/>
  </mergeCells>
  <conditionalFormatting sqref="L24">
    <cfRule type="cellIs" dxfId="13" priority="1" stopIfTrue="1" operator="lessThan">
      <formula>$D$11</formula>
    </cfRule>
  </conditionalFormatting>
  <hyperlinks>
    <hyperlink ref="U15" r:id="rId1" display="hier:"/>
    <hyperlink ref="T24" r:id="rId2" location="Zeiterfassung" display="Wiki"/>
  </hyperlinks>
  <pageMargins left="0.5" right="0.5" top="0.75" bottom="0" header="0.5" footer="0"/>
  <pageSetup paperSize="9" scale="88" orientation="landscape"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3313" r:id="rId6" name="Button 1">
              <controlPr defaultSize="0" print="0" autoFill="0" autoPict="0" macro="[0]!Schützen">
                <anchor moveWithCells="1" sizeWithCells="1">
                  <from>
                    <xdr:col>21</xdr:col>
                    <xdr:colOff>133350</xdr:colOff>
                    <xdr:row>11</xdr:row>
                    <xdr:rowOff>184150</xdr:rowOff>
                  </from>
                  <to>
                    <xdr:col>24</xdr:col>
                    <xdr:colOff>12700</xdr:colOff>
                    <xdr:row>13</xdr:row>
                    <xdr:rowOff>76200</xdr:rowOff>
                  </to>
                </anchor>
              </controlPr>
            </control>
          </mc:Choice>
        </mc:AlternateContent>
        <mc:AlternateContent xmlns:mc="http://schemas.openxmlformats.org/markup-compatibility/2006">
          <mc:Choice Requires="x14">
            <control shapeId="13314" r:id="rId7" name="Button 2">
              <controlPr defaultSize="0" print="0" autoFill="0" autoPict="0" macro="[0]!Entschützen">
                <anchor moveWithCells="1" sizeWithCells="1">
                  <from>
                    <xdr:col>21</xdr:col>
                    <xdr:colOff>146050</xdr:colOff>
                    <xdr:row>14</xdr:row>
                    <xdr:rowOff>19050</xdr:rowOff>
                  </from>
                  <to>
                    <xdr:col>24</xdr:col>
                    <xdr:colOff>31750</xdr:colOff>
                    <xdr:row>15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27"/>
    </row>
    <row r="4" spans="2:16" ht="14.25" customHeight="1" x14ac:dyDescent="0.25"/>
    <row r="5" spans="2:16" ht="17.149999999999999" customHeight="1" x14ac:dyDescent="0.25">
      <c r="E5" s="195" t="s">
        <v>2</v>
      </c>
      <c r="F5" s="195"/>
      <c r="G5" s="195"/>
      <c r="H5" s="28"/>
      <c r="L5" s="227" t="s">
        <v>14</v>
      </c>
      <c r="M5" s="227"/>
      <c r="N5" s="232" t="s">
        <v>75</v>
      </c>
      <c r="O5" s="233"/>
    </row>
    <row r="6" spans="2:16" ht="17.149999999999999" customHeight="1" x14ac:dyDescent="0.25">
      <c r="E6" s="195" t="s">
        <v>3</v>
      </c>
      <c r="F6" s="195"/>
      <c r="G6" s="195"/>
      <c r="H6" s="28"/>
      <c r="L6" s="29"/>
      <c r="M6" s="29"/>
      <c r="N6" s="30"/>
      <c r="O6" s="30"/>
    </row>
    <row r="7" spans="2:16" ht="17.149999999999999" customHeight="1" x14ac:dyDescent="0.25">
      <c r="E7" s="195"/>
      <c r="F7" s="195"/>
      <c r="G7" s="195"/>
      <c r="H7" s="28"/>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28" t="s">
        <v>15</v>
      </c>
      <c r="F10" s="31"/>
      <c r="G10" s="54">
        <v>2</v>
      </c>
      <c r="H10" s="33"/>
      <c r="L10" s="227"/>
      <c r="M10" s="227"/>
      <c r="N10" s="228"/>
      <c r="O10" s="229"/>
    </row>
    <row r="11" spans="2:16" ht="17.149999999999999" customHeight="1" x14ac:dyDescent="0.25">
      <c r="C11" s="162"/>
      <c r="E11" s="195" t="s">
        <v>16</v>
      </c>
      <c r="F11" s="195"/>
      <c r="G11" s="55">
        <v>0.41666666666666669</v>
      </c>
      <c r="H11" s="33"/>
      <c r="L11" s="34"/>
      <c r="M11" s="34"/>
      <c r="N11" s="35"/>
      <c r="O11" s="36"/>
    </row>
    <row r="12" spans="2:16" ht="17.149999999999999" customHeight="1" x14ac:dyDescent="0.25">
      <c r="D12" s="66"/>
      <c r="E12" s="28" t="s">
        <v>17</v>
      </c>
      <c r="F12" s="37"/>
      <c r="G12" s="56">
        <v>42552</v>
      </c>
      <c r="H12" s="38" t="s">
        <v>18</v>
      </c>
      <c r="I12" s="57">
        <v>42735</v>
      </c>
      <c r="L12" s="34"/>
      <c r="M12" s="34"/>
      <c r="N12" s="35"/>
      <c r="O12" s="36"/>
    </row>
    <row r="13" spans="2:16" ht="17.149999999999999" customHeight="1" x14ac:dyDescent="0.25">
      <c r="B13" s="163"/>
      <c r="C13" s="164"/>
      <c r="D13" s="66"/>
      <c r="E13" s="28"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22" si="0">G16-F16</f>
        <v>0</v>
      </c>
      <c r="I16" s="45"/>
      <c r="J16" s="44"/>
      <c r="K16" s="58">
        <f t="shared" ref="K16:K22"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42370</v>
      </c>
      <c r="C20" s="168">
        <f>WEEKNUM(B20,21)</f>
        <v>53</v>
      </c>
      <c r="D20" s="69">
        <v>1</v>
      </c>
      <c r="E20" s="70" t="s">
        <v>30</v>
      </c>
      <c r="F20" s="95"/>
      <c r="G20" s="95"/>
      <c r="H20" s="96">
        <f t="shared" si="0"/>
        <v>0</v>
      </c>
      <c r="I20" s="97"/>
      <c r="J20" s="95"/>
      <c r="K20" s="96">
        <f t="shared" si="1"/>
        <v>0</v>
      </c>
      <c r="L20" s="99">
        <f t="shared" si="2"/>
        <v>0</v>
      </c>
      <c r="M20" s="98"/>
      <c r="N20" s="96" t="str">
        <f t="shared" si="3"/>
        <v/>
      </c>
      <c r="O20" s="99">
        <f t="shared" si="4"/>
        <v>0</v>
      </c>
    </row>
    <row r="21" spans="2:15" ht="21" customHeight="1" x14ac:dyDescent="0.25">
      <c r="B21" s="167">
        <v>42371</v>
      </c>
      <c r="C21" s="169">
        <f t="shared" ref="C21:C50" si="5">WEEKNUM(B21,21)</f>
        <v>53</v>
      </c>
      <c r="D21" s="76">
        <v>2</v>
      </c>
      <c r="E21" s="77" t="s">
        <v>31</v>
      </c>
      <c r="F21" s="174"/>
      <c r="G21" s="174"/>
      <c r="H21" s="101">
        <f t="shared" si="0"/>
        <v>0</v>
      </c>
      <c r="I21" s="175"/>
      <c r="J21" s="174"/>
      <c r="K21" s="101">
        <f t="shared" si="1"/>
        <v>0</v>
      </c>
      <c r="L21" s="176"/>
      <c r="M21" s="177"/>
      <c r="N21" s="101" t="str">
        <f t="shared" si="3"/>
        <v/>
      </c>
      <c r="O21" s="176">
        <f t="shared" si="4"/>
        <v>0</v>
      </c>
    </row>
    <row r="22" spans="2:15" ht="21" customHeight="1" thickBot="1" x14ac:dyDescent="0.3">
      <c r="B22" s="167">
        <v>42372</v>
      </c>
      <c r="C22" s="170">
        <f t="shared" si="5"/>
        <v>53</v>
      </c>
      <c r="D22" s="83">
        <v>3</v>
      </c>
      <c r="E22" s="84" t="s">
        <v>32</v>
      </c>
      <c r="F22" s="178"/>
      <c r="G22" s="178"/>
      <c r="H22" s="105">
        <f t="shared" si="0"/>
        <v>0</v>
      </c>
      <c r="I22" s="179"/>
      <c r="J22" s="178"/>
      <c r="K22" s="105">
        <f t="shared" si="1"/>
        <v>0</v>
      </c>
      <c r="L22" s="180"/>
      <c r="M22" s="181"/>
      <c r="N22" s="105" t="str">
        <f t="shared" si="3"/>
        <v/>
      </c>
      <c r="O22" s="180">
        <f t="shared" si="4"/>
        <v>0</v>
      </c>
    </row>
    <row r="23" spans="2:15" ht="21" customHeight="1" x14ac:dyDescent="0.25">
      <c r="B23" s="167">
        <v>42373</v>
      </c>
      <c r="C23" s="166">
        <f t="shared" si="5"/>
        <v>1</v>
      </c>
      <c r="D23" s="67">
        <v>4</v>
      </c>
      <c r="E23" s="43" t="s">
        <v>26</v>
      </c>
      <c r="F23" s="90"/>
      <c r="G23" s="90"/>
      <c r="H23" s="106">
        <f t="shared" ref="H23:H29" si="6">G23-F23</f>
        <v>0</v>
      </c>
      <c r="I23" s="92"/>
      <c r="J23" s="90"/>
      <c r="K23" s="106">
        <f t="shared" ref="K23:K29" si="7">J23-I23</f>
        <v>0</v>
      </c>
      <c r="L23" s="94">
        <f t="shared" ref="L23:L27" si="8">(IF((H23+K23)&gt;0.375,0.0416666666666667,IF((H23+K23)&gt;0.25,0.0208333333333333,0)))</f>
        <v>0</v>
      </c>
      <c r="M23" s="93"/>
      <c r="N23" s="106" t="str">
        <f>IF(M23="","",M23*($G$11/$G$10))</f>
        <v/>
      </c>
      <c r="O23" s="94">
        <f t="shared" si="4"/>
        <v>0</v>
      </c>
    </row>
    <row r="24" spans="2:15" ht="21" customHeight="1" x14ac:dyDescent="0.25">
      <c r="B24" s="167">
        <v>42374</v>
      </c>
      <c r="C24" s="166">
        <f t="shared" si="5"/>
        <v>1</v>
      </c>
      <c r="D24" s="67">
        <v>5</v>
      </c>
      <c r="E24" s="43" t="s">
        <v>27</v>
      </c>
      <c r="F24" s="90"/>
      <c r="G24" s="90"/>
      <c r="H24" s="91">
        <f t="shared" si="6"/>
        <v>0</v>
      </c>
      <c r="I24" s="92"/>
      <c r="J24" s="90"/>
      <c r="K24" s="91">
        <f t="shared" si="7"/>
        <v>0</v>
      </c>
      <c r="L24" s="94">
        <f t="shared" si="8"/>
        <v>0</v>
      </c>
      <c r="M24" s="93"/>
      <c r="N24" s="91" t="str">
        <f t="shared" ref="N24:N29" si="9">IF(M24="","",M24*($G$11/$G$10))</f>
        <v/>
      </c>
      <c r="O24" s="94">
        <f t="shared" si="4"/>
        <v>0</v>
      </c>
    </row>
    <row r="25" spans="2:15" ht="21" customHeight="1" x14ac:dyDescent="0.25">
      <c r="B25" s="167">
        <v>42375</v>
      </c>
      <c r="C25" s="166">
        <f t="shared" si="5"/>
        <v>1</v>
      </c>
      <c r="D25" s="67">
        <v>6</v>
      </c>
      <c r="E25" s="43" t="s">
        <v>28</v>
      </c>
      <c r="F25" s="90"/>
      <c r="G25" s="90"/>
      <c r="H25" s="91">
        <f t="shared" si="6"/>
        <v>0</v>
      </c>
      <c r="I25" s="92"/>
      <c r="J25" s="90"/>
      <c r="K25" s="91">
        <f t="shared" si="7"/>
        <v>0</v>
      </c>
      <c r="L25" s="94">
        <f t="shared" si="8"/>
        <v>0</v>
      </c>
      <c r="M25" s="93"/>
      <c r="N25" s="91" t="str">
        <f t="shared" si="9"/>
        <v/>
      </c>
      <c r="O25" s="94">
        <f t="shared" si="4"/>
        <v>0</v>
      </c>
    </row>
    <row r="26" spans="2:15" ht="21" customHeight="1" x14ac:dyDescent="0.25">
      <c r="B26" s="167">
        <v>42376</v>
      </c>
      <c r="C26" s="166">
        <f t="shared" si="5"/>
        <v>1</v>
      </c>
      <c r="D26" s="67">
        <v>7</v>
      </c>
      <c r="E26" s="43" t="s">
        <v>29</v>
      </c>
      <c r="F26" s="44"/>
      <c r="G26" s="44"/>
      <c r="H26" s="58">
        <f t="shared" si="6"/>
        <v>0</v>
      </c>
      <c r="I26" s="45"/>
      <c r="J26" s="44"/>
      <c r="K26" s="58">
        <f t="shared" si="7"/>
        <v>0</v>
      </c>
      <c r="L26" s="59">
        <f t="shared" si="8"/>
        <v>0</v>
      </c>
      <c r="M26" s="46"/>
      <c r="N26" s="58" t="str">
        <f t="shared" si="9"/>
        <v/>
      </c>
      <c r="O26" s="59">
        <f t="shared" si="4"/>
        <v>0</v>
      </c>
    </row>
    <row r="27" spans="2:15" ht="21" customHeight="1" thickBot="1" x14ac:dyDescent="0.3">
      <c r="B27" s="167">
        <v>42377</v>
      </c>
      <c r="C27" s="168">
        <f t="shared" si="5"/>
        <v>1</v>
      </c>
      <c r="D27" s="69">
        <v>8</v>
      </c>
      <c r="E27" s="70" t="s">
        <v>30</v>
      </c>
      <c r="F27" s="71"/>
      <c r="G27" s="71"/>
      <c r="H27" s="72">
        <f t="shared" si="6"/>
        <v>0</v>
      </c>
      <c r="I27" s="64"/>
      <c r="J27" s="71"/>
      <c r="K27" s="72">
        <f t="shared" si="7"/>
        <v>0</v>
      </c>
      <c r="L27" s="74">
        <f t="shared" si="8"/>
        <v>0</v>
      </c>
      <c r="M27" s="73"/>
      <c r="N27" s="72" t="str">
        <f t="shared" si="9"/>
        <v/>
      </c>
      <c r="O27" s="74">
        <f t="shared" si="4"/>
        <v>0</v>
      </c>
    </row>
    <row r="28" spans="2:15" ht="21" customHeight="1" x14ac:dyDescent="0.25">
      <c r="B28" s="167">
        <v>42378</v>
      </c>
      <c r="C28" s="169">
        <f t="shared" si="5"/>
        <v>1</v>
      </c>
      <c r="D28" s="76">
        <v>9</v>
      </c>
      <c r="E28" s="77" t="s">
        <v>31</v>
      </c>
      <c r="F28" s="182"/>
      <c r="G28" s="182"/>
      <c r="H28" s="79">
        <f t="shared" si="6"/>
        <v>0</v>
      </c>
      <c r="I28" s="183"/>
      <c r="J28" s="182"/>
      <c r="K28" s="79">
        <f t="shared" si="7"/>
        <v>0</v>
      </c>
      <c r="L28" s="184"/>
      <c r="M28" s="185"/>
      <c r="N28" s="79" t="str">
        <f t="shared" si="9"/>
        <v/>
      </c>
      <c r="O28" s="184">
        <f t="shared" si="4"/>
        <v>0</v>
      </c>
    </row>
    <row r="29" spans="2:15" ht="21" customHeight="1" thickBot="1" x14ac:dyDescent="0.3">
      <c r="B29" s="167">
        <v>42379</v>
      </c>
      <c r="C29" s="170">
        <f t="shared" si="5"/>
        <v>1</v>
      </c>
      <c r="D29" s="83">
        <v>10</v>
      </c>
      <c r="E29" s="84" t="s">
        <v>32</v>
      </c>
      <c r="F29" s="186"/>
      <c r="G29" s="186"/>
      <c r="H29" s="86">
        <f t="shared" si="6"/>
        <v>0</v>
      </c>
      <c r="I29" s="187"/>
      <c r="J29" s="186"/>
      <c r="K29" s="86">
        <f t="shared" si="7"/>
        <v>0</v>
      </c>
      <c r="L29" s="188"/>
      <c r="M29" s="189"/>
      <c r="N29" s="86" t="str">
        <f t="shared" si="9"/>
        <v/>
      </c>
      <c r="O29" s="188">
        <f t="shared" si="4"/>
        <v>0</v>
      </c>
    </row>
    <row r="30" spans="2:15" ht="21" customHeight="1" x14ac:dyDescent="0.25">
      <c r="B30" s="167">
        <v>42380</v>
      </c>
      <c r="C30" s="166">
        <f t="shared" si="5"/>
        <v>2</v>
      </c>
      <c r="D30" s="67">
        <v>11</v>
      </c>
      <c r="E30" s="43" t="s">
        <v>26</v>
      </c>
      <c r="F30" s="44"/>
      <c r="G30" s="44"/>
      <c r="H30" s="75">
        <f t="shared" ref="H30:H36" si="10">G30-F30</f>
        <v>0</v>
      </c>
      <c r="I30" s="45"/>
      <c r="J30" s="44"/>
      <c r="K30" s="75">
        <f t="shared" ref="K30:K36" si="11">J30-I30</f>
        <v>0</v>
      </c>
      <c r="L30" s="59">
        <f t="shared" ref="L30:L34" si="12">(IF((H30+K30)&gt;0.375,0.0416666666666667,IF((H30+K30)&gt;0.25,0.0208333333333333,0)))</f>
        <v>0</v>
      </c>
      <c r="M30" s="46"/>
      <c r="N30" s="75" t="str">
        <f>IF(M30="","",M30*($G$11/$G$10))</f>
        <v/>
      </c>
      <c r="O30" s="59">
        <f t="shared" si="4"/>
        <v>0</v>
      </c>
    </row>
    <row r="31" spans="2:15" ht="21" customHeight="1" x14ac:dyDescent="0.25">
      <c r="B31" s="167">
        <v>42381</v>
      </c>
      <c r="C31" s="166">
        <f t="shared" si="5"/>
        <v>2</v>
      </c>
      <c r="D31" s="67">
        <v>12</v>
      </c>
      <c r="E31" s="43" t="s">
        <v>27</v>
      </c>
      <c r="F31" s="44"/>
      <c r="G31" s="44"/>
      <c r="H31" s="58">
        <f t="shared" si="10"/>
        <v>0</v>
      </c>
      <c r="I31" s="45"/>
      <c r="J31" s="44"/>
      <c r="K31" s="58">
        <f t="shared" si="11"/>
        <v>0</v>
      </c>
      <c r="L31" s="59">
        <f t="shared" si="12"/>
        <v>0</v>
      </c>
      <c r="M31" s="46"/>
      <c r="N31" s="58" t="str">
        <f t="shared" ref="N31:N36" si="13">IF(M31="","",M31*($G$11/$G$10))</f>
        <v/>
      </c>
      <c r="O31" s="59">
        <f t="shared" si="4"/>
        <v>0</v>
      </c>
    </row>
    <row r="32" spans="2:15" ht="21" customHeight="1" x14ac:dyDescent="0.25">
      <c r="B32" s="167">
        <v>42382</v>
      </c>
      <c r="C32" s="166">
        <f t="shared" si="5"/>
        <v>2</v>
      </c>
      <c r="D32" s="67">
        <v>13</v>
      </c>
      <c r="E32" s="43" t="s">
        <v>28</v>
      </c>
      <c r="F32" s="44"/>
      <c r="G32" s="44"/>
      <c r="H32" s="58">
        <f t="shared" si="10"/>
        <v>0</v>
      </c>
      <c r="I32" s="45"/>
      <c r="J32" s="44"/>
      <c r="K32" s="58">
        <f t="shared" si="11"/>
        <v>0</v>
      </c>
      <c r="L32" s="59">
        <f t="shared" si="12"/>
        <v>0</v>
      </c>
      <c r="M32" s="46"/>
      <c r="N32" s="58" t="str">
        <f t="shared" si="13"/>
        <v/>
      </c>
      <c r="O32" s="59">
        <f t="shared" si="4"/>
        <v>0</v>
      </c>
    </row>
    <row r="33" spans="2:15" ht="21" customHeight="1" x14ac:dyDescent="0.25">
      <c r="B33" s="167">
        <v>42383</v>
      </c>
      <c r="C33" s="166">
        <f t="shared" si="5"/>
        <v>2</v>
      </c>
      <c r="D33" s="67">
        <v>14</v>
      </c>
      <c r="E33" s="43" t="s">
        <v>29</v>
      </c>
      <c r="F33" s="44"/>
      <c r="G33" s="44"/>
      <c r="H33" s="58">
        <f t="shared" si="10"/>
        <v>0</v>
      </c>
      <c r="I33" s="45"/>
      <c r="J33" s="44"/>
      <c r="K33" s="58">
        <f t="shared" si="11"/>
        <v>0</v>
      </c>
      <c r="L33" s="59">
        <f t="shared" si="12"/>
        <v>0</v>
      </c>
      <c r="M33" s="46"/>
      <c r="N33" s="58" t="str">
        <f t="shared" si="13"/>
        <v/>
      </c>
      <c r="O33" s="59">
        <f t="shared" si="4"/>
        <v>0</v>
      </c>
    </row>
    <row r="34" spans="2:15" ht="21" customHeight="1" thickBot="1" x14ac:dyDescent="0.3">
      <c r="B34" s="167">
        <v>42384</v>
      </c>
      <c r="C34" s="168">
        <f t="shared" si="5"/>
        <v>2</v>
      </c>
      <c r="D34" s="69">
        <v>15</v>
      </c>
      <c r="E34" s="70" t="s">
        <v>30</v>
      </c>
      <c r="F34" s="71"/>
      <c r="G34" s="71"/>
      <c r="H34" s="72">
        <f t="shared" si="10"/>
        <v>0</v>
      </c>
      <c r="I34" s="64"/>
      <c r="J34" s="71"/>
      <c r="K34" s="72">
        <f t="shared" si="11"/>
        <v>0</v>
      </c>
      <c r="L34" s="74">
        <f t="shared" si="12"/>
        <v>0</v>
      </c>
      <c r="M34" s="73"/>
      <c r="N34" s="72" t="str">
        <f t="shared" si="13"/>
        <v/>
      </c>
      <c r="O34" s="74">
        <f t="shared" si="4"/>
        <v>0</v>
      </c>
    </row>
    <row r="35" spans="2:15" ht="21" customHeight="1" x14ac:dyDescent="0.25">
      <c r="B35" s="167">
        <v>42385</v>
      </c>
      <c r="C35" s="169">
        <f t="shared" si="5"/>
        <v>2</v>
      </c>
      <c r="D35" s="76">
        <v>16</v>
      </c>
      <c r="E35" s="77" t="s">
        <v>31</v>
      </c>
      <c r="F35" s="182"/>
      <c r="G35" s="182"/>
      <c r="H35" s="79">
        <f t="shared" si="10"/>
        <v>0</v>
      </c>
      <c r="I35" s="183"/>
      <c r="J35" s="182"/>
      <c r="K35" s="79">
        <f t="shared" si="11"/>
        <v>0</v>
      </c>
      <c r="L35" s="184"/>
      <c r="M35" s="185"/>
      <c r="N35" s="79" t="str">
        <f t="shared" si="13"/>
        <v/>
      </c>
      <c r="O35" s="184">
        <f t="shared" si="4"/>
        <v>0</v>
      </c>
    </row>
    <row r="36" spans="2:15" ht="21" customHeight="1" thickBot="1" x14ac:dyDescent="0.3">
      <c r="B36" s="167">
        <v>42386</v>
      </c>
      <c r="C36" s="170">
        <f t="shared" si="5"/>
        <v>2</v>
      </c>
      <c r="D36" s="83">
        <v>17</v>
      </c>
      <c r="E36" s="84" t="s">
        <v>32</v>
      </c>
      <c r="F36" s="186"/>
      <c r="G36" s="186"/>
      <c r="H36" s="86">
        <f t="shared" si="10"/>
        <v>0</v>
      </c>
      <c r="I36" s="187"/>
      <c r="J36" s="186"/>
      <c r="K36" s="86">
        <f t="shared" si="11"/>
        <v>0</v>
      </c>
      <c r="L36" s="188"/>
      <c r="M36" s="189"/>
      <c r="N36" s="86" t="str">
        <f t="shared" si="13"/>
        <v/>
      </c>
      <c r="O36" s="188">
        <f t="shared" si="4"/>
        <v>0</v>
      </c>
    </row>
    <row r="37" spans="2:15" ht="21" customHeight="1" x14ac:dyDescent="0.25">
      <c r="B37" s="167">
        <v>42387</v>
      </c>
      <c r="C37" s="166">
        <f t="shared" si="5"/>
        <v>3</v>
      </c>
      <c r="D37" s="67">
        <v>18</v>
      </c>
      <c r="E37" s="43" t="s">
        <v>26</v>
      </c>
      <c r="F37" s="44"/>
      <c r="G37" s="44"/>
      <c r="H37" s="75">
        <f t="shared" ref="H37:H43" si="14">G37-F37</f>
        <v>0</v>
      </c>
      <c r="I37" s="45"/>
      <c r="J37" s="44"/>
      <c r="K37" s="75">
        <f t="shared" ref="K37:K43" si="15">J37-I37</f>
        <v>0</v>
      </c>
      <c r="L37" s="59">
        <f t="shared" ref="L37:L41" si="16">(IF((H37+K37)&gt;0.375,0.0416666666666667,IF((H37+K37)&gt;0.25,0.0208333333333333,0)))</f>
        <v>0</v>
      </c>
      <c r="M37" s="46"/>
      <c r="N37" s="75" t="str">
        <f>IF(M37="","",M37*($G$11/$G$10))</f>
        <v/>
      </c>
      <c r="O37" s="59">
        <f t="shared" si="4"/>
        <v>0</v>
      </c>
    </row>
    <row r="38" spans="2:15" ht="21" customHeight="1" x14ac:dyDescent="0.25">
      <c r="B38" s="167">
        <v>42388</v>
      </c>
      <c r="C38" s="166">
        <f t="shared" si="5"/>
        <v>3</v>
      </c>
      <c r="D38" s="67">
        <v>19</v>
      </c>
      <c r="E38" s="43" t="s">
        <v>27</v>
      </c>
      <c r="F38" s="44"/>
      <c r="G38" s="44"/>
      <c r="H38" s="58">
        <f t="shared" si="14"/>
        <v>0</v>
      </c>
      <c r="I38" s="45"/>
      <c r="J38" s="44"/>
      <c r="K38" s="58">
        <f t="shared" si="15"/>
        <v>0</v>
      </c>
      <c r="L38" s="59">
        <f t="shared" si="16"/>
        <v>0</v>
      </c>
      <c r="M38" s="46"/>
      <c r="N38" s="58" t="str">
        <f t="shared" ref="N38:N43" si="17">IF(M38="","",M38*($G$11/$G$10))</f>
        <v/>
      </c>
      <c r="O38" s="59">
        <f t="shared" si="4"/>
        <v>0</v>
      </c>
    </row>
    <row r="39" spans="2:15" ht="21" customHeight="1" x14ac:dyDescent="0.25">
      <c r="B39" s="167">
        <v>42389</v>
      </c>
      <c r="C39" s="166">
        <f t="shared" si="5"/>
        <v>3</v>
      </c>
      <c r="D39" s="67">
        <v>20</v>
      </c>
      <c r="E39" s="43" t="s">
        <v>28</v>
      </c>
      <c r="F39" s="44"/>
      <c r="G39" s="44"/>
      <c r="H39" s="58">
        <f t="shared" si="14"/>
        <v>0</v>
      </c>
      <c r="I39" s="45"/>
      <c r="J39" s="44"/>
      <c r="K39" s="58">
        <f t="shared" si="15"/>
        <v>0</v>
      </c>
      <c r="L39" s="59">
        <f t="shared" si="16"/>
        <v>0</v>
      </c>
      <c r="M39" s="46"/>
      <c r="N39" s="58" t="str">
        <f t="shared" si="17"/>
        <v/>
      </c>
      <c r="O39" s="59">
        <f t="shared" si="4"/>
        <v>0</v>
      </c>
    </row>
    <row r="40" spans="2:15" ht="21" customHeight="1" x14ac:dyDescent="0.25">
      <c r="B40" s="167">
        <v>42390</v>
      </c>
      <c r="C40" s="166">
        <f t="shared" si="5"/>
        <v>3</v>
      </c>
      <c r="D40" s="67">
        <v>21</v>
      </c>
      <c r="E40" s="43" t="s">
        <v>29</v>
      </c>
      <c r="F40" s="44"/>
      <c r="G40" s="44"/>
      <c r="H40" s="58">
        <f t="shared" si="14"/>
        <v>0</v>
      </c>
      <c r="I40" s="45"/>
      <c r="J40" s="44"/>
      <c r="K40" s="58">
        <f t="shared" si="15"/>
        <v>0</v>
      </c>
      <c r="L40" s="59">
        <f t="shared" si="16"/>
        <v>0</v>
      </c>
      <c r="M40" s="46"/>
      <c r="N40" s="58" t="str">
        <f t="shared" si="17"/>
        <v/>
      </c>
      <c r="O40" s="59">
        <f t="shared" si="4"/>
        <v>0</v>
      </c>
    </row>
    <row r="41" spans="2:15" ht="21" customHeight="1" thickBot="1" x14ac:dyDescent="0.3">
      <c r="B41" s="167">
        <v>42391</v>
      </c>
      <c r="C41" s="168">
        <f t="shared" si="5"/>
        <v>3</v>
      </c>
      <c r="D41" s="69">
        <v>22</v>
      </c>
      <c r="E41" s="70" t="s">
        <v>30</v>
      </c>
      <c r="F41" s="71"/>
      <c r="G41" s="71"/>
      <c r="H41" s="72">
        <f t="shared" si="14"/>
        <v>0</v>
      </c>
      <c r="I41" s="64"/>
      <c r="J41" s="71"/>
      <c r="K41" s="72">
        <f t="shared" si="15"/>
        <v>0</v>
      </c>
      <c r="L41" s="74">
        <f t="shared" si="16"/>
        <v>0</v>
      </c>
      <c r="M41" s="73"/>
      <c r="N41" s="72" t="str">
        <f t="shared" si="17"/>
        <v/>
      </c>
      <c r="O41" s="74">
        <f t="shared" si="4"/>
        <v>0</v>
      </c>
    </row>
    <row r="42" spans="2:15" ht="21" customHeight="1" x14ac:dyDescent="0.25">
      <c r="B42" s="167">
        <v>42392</v>
      </c>
      <c r="C42" s="169">
        <f t="shared" si="5"/>
        <v>3</v>
      </c>
      <c r="D42" s="76">
        <v>23</v>
      </c>
      <c r="E42" s="77" t="s">
        <v>31</v>
      </c>
      <c r="F42" s="182"/>
      <c r="G42" s="182"/>
      <c r="H42" s="79">
        <f t="shared" si="14"/>
        <v>0</v>
      </c>
      <c r="I42" s="183"/>
      <c r="J42" s="182"/>
      <c r="K42" s="79">
        <f t="shared" si="15"/>
        <v>0</v>
      </c>
      <c r="L42" s="184"/>
      <c r="M42" s="185"/>
      <c r="N42" s="79" t="str">
        <f t="shared" si="17"/>
        <v/>
      </c>
      <c r="O42" s="184">
        <f t="shared" si="4"/>
        <v>0</v>
      </c>
    </row>
    <row r="43" spans="2:15" ht="21" customHeight="1" thickBot="1" x14ac:dyDescent="0.3">
      <c r="B43" s="167">
        <v>42393</v>
      </c>
      <c r="C43" s="170">
        <f t="shared" si="5"/>
        <v>3</v>
      </c>
      <c r="D43" s="83">
        <v>24</v>
      </c>
      <c r="E43" s="84" t="s">
        <v>32</v>
      </c>
      <c r="F43" s="186"/>
      <c r="G43" s="186"/>
      <c r="H43" s="86">
        <f t="shared" si="14"/>
        <v>0</v>
      </c>
      <c r="I43" s="187"/>
      <c r="J43" s="186"/>
      <c r="K43" s="86">
        <f t="shared" si="15"/>
        <v>0</v>
      </c>
      <c r="L43" s="188"/>
      <c r="M43" s="189"/>
      <c r="N43" s="86" t="str">
        <f t="shared" si="17"/>
        <v/>
      </c>
      <c r="O43" s="188">
        <f t="shared" si="4"/>
        <v>0</v>
      </c>
    </row>
    <row r="44" spans="2:15" ht="21" customHeight="1" x14ac:dyDescent="0.25">
      <c r="B44" s="167">
        <v>42394</v>
      </c>
      <c r="C44" s="166">
        <f t="shared" si="5"/>
        <v>4</v>
      </c>
      <c r="D44" s="67">
        <v>25</v>
      </c>
      <c r="E44" s="43" t="s">
        <v>26</v>
      </c>
      <c r="F44" s="44"/>
      <c r="G44" s="44"/>
      <c r="H44" s="75">
        <f t="shared" ref="H44:H50" si="18">G44-F44</f>
        <v>0</v>
      </c>
      <c r="I44" s="45"/>
      <c r="J44" s="44"/>
      <c r="K44" s="75">
        <f t="shared" ref="K44:K50" si="19">J44-I44</f>
        <v>0</v>
      </c>
      <c r="L44" s="59">
        <f t="shared" ref="L44:L48" si="20">(IF((H44+K44)&gt;0.375,0.0416666666666667,IF((H44+K44)&gt;0.25,0.0208333333333333,0)))</f>
        <v>0</v>
      </c>
      <c r="M44" s="46"/>
      <c r="N44" s="75" t="str">
        <f>IF(M44="","",M44*($G$11/$G$10))</f>
        <v/>
      </c>
      <c r="O44" s="59">
        <f t="shared" si="4"/>
        <v>0</v>
      </c>
    </row>
    <row r="45" spans="2:15" ht="21" customHeight="1" x14ac:dyDescent="0.25">
      <c r="B45" s="167">
        <v>42395</v>
      </c>
      <c r="C45" s="166">
        <f t="shared" si="5"/>
        <v>4</v>
      </c>
      <c r="D45" s="67">
        <v>26</v>
      </c>
      <c r="E45" s="43" t="s">
        <v>27</v>
      </c>
      <c r="F45" s="44"/>
      <c r="G45" s="44"/>
      <c r="H45" s="58">
        <f t="shared" si="18"/>
        <v>0</v>
      </c>
      <c r="I45" s="45"/>
      <c r="J45" s="44"/>
      <c r="K45" s="58">
        <f t="shared" si="19"/>
        <v>0</v>
      </c>
      <c r="L45" s="59">
        <f t="shared" si="20"/>
        <v>0</v>
      </c>
      <c r="M45" s="46"/>
      <c r="N45" s="58" t="str">
        <f t="shared" ref="N45:N50" si="21">IF(M45="","",M45*($G$11/$G$10))</f>
        <v/>
      </c>
      <c r="O45" s="59">
        <f t="shared" si="4"/>
        <v>0</v>
      </c>
    </row>
    <row r="46" spans="2:15" ht="21" customHeight="1" x14ac:dyDescent="0.25">
      <c r="B46" s="167">
        <v>42396</v>
      </c>
      <c r="C46" s="166">
        <f t="shared" si="5"/>
        <v>4</v>
      </c>
      <c r="D46" s="67">
        <v>27</v>
      </c>
      <c r="E46" s="43" t="s">
        <v>28</v>
      </c>
      <c r="F46" s="44"/>
      <c r="G46" s="44"/>
      <c r="H46" s="58">
        <f t="shared" si="18"/>
        <v>0</v>
      </c>
      <c r="I46" s="45"/>
      <c r="J46" s="44"/>
      <c r="K46" s="58">
        <f t="shared" si="19"/>
        <v>0</v>
      </c>
      <c r="L46" s="59">
        <f t="shared" si="20"/>
        <v>0</v>
      </c>
      <c r="M46" s="46"/>
      <c r="N46" s="58" t="str">
        <f t="shared" si="21"/>
        <v/>
      </c>
      <c r="O46" s="59">
        <f t="shared" si="4"/>
        <v>0</v>
      </c>
    </row>
    <row r="47" spans="2:15" ht="21" customHeight="1" x14ac:dyDescent="0.25">
      <c r="B47" s="167">
        <v>42397</v>
      </c>
      <c r="C47" s="166">
        <f t="shared" si="5"/>
        <v>4</v>
      </c>
      <c r="D47" s="67">
        <v>28</v>
      </c>
      <c r="E47" s="43" t="s">
        <v>29</v>
      </c>
      <c r="F47" s="44"/>
      <c r="G47" s="44"/>
      <c r="H47" s="58">
        <f t="shared" si="18"/>
        <v>0</v>
      </c>
      <c r="I47" s="45"/>
      <c r="J47" s="44"/>
      <c r="K47" s="58">
        <f t="shared" si="19"/>
        <v>0</v>
      </c>
      <c r="L47" s="59">
        <f t="shared" si="20"/>
        <v>0</v>
      </c>
      <c r="M47" s="46"/>
      <c r="N47" s="58" t="str">
        <f t="shared" si="21"/>
        <v/>
      </c>
      <c r="O47" s="59">
        <f t="shared" si="4"/>
        <v>0</v>
      </c>
    </row>
    <row r="48" spans="2:15" ht="21" customHeight="1" thickBot="1" x14ac:dyDescent="0.3">
      <c r="B48" s="167">
        <v>42398</v>
      </c>
      <c r="C48" s="168">
        <f t="shared" si="5"/>
        <v>4</v>
      </c>
      <c r="D48" s="69">
        <v>29</v>
      </c>
      <c r="E48" s="70" t="s">
        <v>30</v>
      </c>
      <c r="F48" s="71"/>
      <c r="G48" s="71"/>
      <c r="H48" s="72">
        <f t="shared" si="18"/>
        <v>0</v>
      </c>
      <c r="I48" s="64"/>
      <c r="J48" s="71"/>
      <c r="K48" s="72">
        <f t="shared" si="19"/>
        <v>0</v>
      </c>
      <c r="L48" s="74">
        <f t="shared" si="20"/>
        <v>0</v>
      </c>
      <c r="M48" s="73"/>
      <c r="N48" s="72" t="str">
        <f t="shared" si="21"/>
        <v/>
      </c>
      <c r="O48" s="74">
        <f t="shared" si="4"/>
        <v>0</v>
      </c>
    </row>
    <row r="49" spans="2:15" ht="21" customHeight="1" x14ac:dyDescent="0.25">
      <c r="B49" s="167">
        <v>42399</v>
      </c>
      <c r="C49" s="169">
        <f t="shared" si="5"/>
        <v>4</v>
      </c>
      <c r="D49" s="76">
        <v>30</v>
      </c>
      <c r="E49" s="77" t="s">
        <v>31</v>
      </c>
      <c r="F49" s="182"/>
      <c r="G49" s="182"/>
      <c r="H49" s="79">
        <f t="shared" si="18"/>
        <v>0</v>
      </c>
      <c r="I49" s="183"/>
      <c r="J49" s="182"/>
      <c r="K49" s="79">
        <f t="shared" si="19"/>
        <v>0</v>
      </c>
      <c r="L49" s="184"/>
      <c r="M49" s="185"/>
      <c r="N49" s="79" t="str">
        <f t="shared" si="21"/>
        <v/>
      </c>
      <c r="O49" s="184">
        <f t="shared" si="4"/>
        <v>0</v>
      </c>
    </row>
    <row r="50" spans="2:15" ht="21" customHeight="1" thickBot="1" x14ac:dyDescent="0.3">
      <c r="B50" s="167">
        <v>42400</v>
      </c>
      <c r="C50" s="170">
        <f t="shared" si="5"/>
        <v>4</v>
      </c>
      <c r="D50" s="83">
        <v>31</v>
      </c>
      <c r="E50" s="84" t="s">
        <v>32</v>
      </c>
      <c r="F50" s="186"/>
      <c r="G50" s="186"/>
      <c r="H50" s="86">
        <f t="shared" si="18"/>
        <v>0</v>
      </c>
      <c r="I50" s="187"/>
      <c r="J50" s="186"/>
      <c r="K50" s="86">
        <f t="shared" si="19"/>
        <v>0</v>
      </c>
      <c r="L50" s="188"/>
      <c r="M50" s="189"/>
      <c r="N50" s="86" t="str">
        <f t="shared" si="21"/>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53</v>
      </c>
      <c r="L55" s="153">
        <f>SUMIF(C16:C50,K55,O16:O50)</f>
        <v>0</v>
      </c>
      <c r="M55" s="154" t="str">
        <f>IF(L55=0,"",((($G$11-L55)*24)*-1)*60)</f>
        <v/>
      </c>
    </row>
    <row r="56" spans="2:15" s="155" customFormat="1" x14ac:dyDescent="0.25">
      <c r="C56" s="171"/>
      <c r="D56" s="173"/>
      <c r="K56" s="152">
        <v>1</v>
      </c>
      <c r="L56" s="153">
        <f t="shared" ref="L56:L59" si="22">SUMIF(C17:C51,K56,O17:O51)</f>
        <v>0</v>
      </c>
      <c r="M56" s="154" t="str">
        <f t="shared" ref="M56:M59" si="23">IF(L56=0,"",((($G$11-L56)*24)*-1)*60)</f>
        <v/>
      </c>
    </row>
    <row r="57" spans="2:15" s="155" customFormat="1" x14ac:dyDescent="0.25">
      <c r="C57" s="171"/>
      <c r="D57" s="173"/>
      <c r="K57" s="152">
        <f t="shared" ref="K57:K59" si="24">K56+1</f>
        <v>2</v>
      </c>
      <c r="L57" s="153">
        <f t="shared" si="22"/>
        <v>0</v>
      </c>
      <c r="M57" s="154" t="str">
        <f t="shared" si="23"/>
        <v/>
      </c>
    </row>
    <row r="58" spans="2:15" s="155" customFormat="1" x14ac:dyDescent="0.25">
      <c r="C58" s="171"/>
      <c r="D58" s="173"/>
      <c r="K58" s="152">
        <f t="shared" si="24"/>
        <v>3</v>
      </c>
      <c r="L58" s="153">
        <f t="shared" si="22"/>
        <v>0</v>
      </c>
      <c r="M58" s="154" t="str">
        <f t="shared" si="23"/>
        <v/>
      </c>
    </row>
    <row r="59" spans="2:15" s="155" customFormat="1" x14ac:dyDescent="0.25">
      <c r="C59" s="171"/>
      <c r="D59" s="173"/>
      <c r="J59" s="150" t="s">
        <v>60</v>
      </c>
      <c r="K59" s="152">
        <f t="shared" si="24"/>
        <v>4</v>
      </c>
      <c r="L59" s="153">
        <f t="shared" si="22"/>
        <v>0</v>
      </c>
      <c r="M59" s="154" t="str">
        <f t="shared" si="23"/>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UhI2fYRznLFh2UNLNz9eAtJVsQNb1FNXsHMVCLoxgZSx8aWeFjKTNzhOEVG6p7FosOiRvyCdT4lt2TRxPfx+vw==" saltValue="rgs6oQselZT3VxMuZLub0A==" spinCount="100000" sheet="1" objects="1" scenarios="1"/>
  <mergeCells count="17">
    <mergeCell ref="E3:J3"/>
    <mergeCell ref="L8:M8"/>
    <mergeCell ref="N8:O8"/>
    <mergeCell ref="L9:M9"/>
    <mergeCell ref="N9:O9"/>
    <mergeCell ref="E6:G6"/>
    <mergeCell ref="E7:G7"/>
    <mergeCell ref="L7:M7"/>
    <mergeCell ref="N7:O7"/>
    <mergeCell ref="E5:G5"/>
    <mergeCell ref="L5:M5"/>
    <mergeCell ref="N5:O5"/>
    <mergeCell ref="D15:E15"/>
    <mergeCell ref="K60:L60"/>
    <mergeCell ref="E11:F11"/>
    <mergeCell ref="L10:M10"/>
    <mergeCell ref="N10:O10"/>
  </mergeCells>
  <phoneticPr fontId="0" type="noConversion"/>
  <conditionalFormatting sqref="M60">
    <cfRule type="cellIs" dxfId="12" priority="1" operator="lessThan">
      <formula>0</formula>
    </cfRule>
  </conditionalFormatting>
  <pageMargins left="0.5" right="0.5" top="0.75" bottom="0" header="0.5" footer="0"/>
  <pageSetup paperSize="9" scale="59" orientation="portrait" verticalDpi="597"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74</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42401</v>
      </c>
      <c r="C16" s="166">
        <f>TRUNC((B16-DATE(YEAR(B16+3-MOD(B16-2,7)),1,MOD(B16-2,7)-9))/7)</f>
        <v>5</v>
      </c>
      <c r="D16" s="67">
        <v>1</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42402</v>
      </c>
      <c r="C17" s="166">
        <f t="shared" ref="C17:C40" si="2">TRUNC((B17-DATE(YEAR(B17+3-MOD(B17-2,7)),1,MOD(B17-2,7)-9))/7)</f>
        <v>5</v>
      </c>
      <c r="D17" s="67">
        <v>2</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42403</v>
      </c>
      <c r="C18" s="166">
        <f t="shared" si="2"/>
        <v>5</v>
      </c>
      <c r="D18" s="67">
        <v>3</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42404</v>
      </c>
      <c r="C19" s="166">
        <f t="shared" si="2"/>
        <v>5</v>
      </c>
      <c r="D19" s="67">
        <v>4</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42405</v>
      </c>
      <c r="C20" s="166">
        <f t="shared" si="2"/>
        <v>5</v>
      </c>
      <c r="D20" s="67">
        <v>5</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42406</v>
      </c>
      <c r="C21" s="166">
        <f t="shared" si="2"/>
        <v>5</v>
      </c>
      <c r="D21" s="67">
        <v>6</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42407</v>
      </c>
      <c r="C22" s="166">
        <f t="shared" si="2"/>
        <v>5</v>
      </c>
      <c r="D22" s="67">
        <v>7</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42408</v>
      </c>
      <c r="C23" s="166">
        <f t="shared" si="2"/>
        <v>6</v>
      </c>
      <c r="D23" s="67">
        <v>8</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42409</v>
      </c>
      <c r="C24" s="166">
        <f t="shared" si="2"/>
        <v>6</v>
      </c>
      <c r="D24" s="67">
        <v>9</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42410</v>
      </c>
      <c r="C25" s="166">
        <f t="shared" si="2"/>
        <v>6</v>
      </c>
      <c r="D25" s="67">
        <v>10</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42411</v>
      </c>
      <c r="C26" s="166">
        <f t="shared" si="2"/>
        <v>6</v>
      </c>
      <c r="D26" s="67">
        <v>11</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42412</v>
      </c>
      <c r="C27" s="166">
        <f t="shared" si="2"/>
        <v>6</v>
      </c>
      <c r="D27" s="67">
        <v>12</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42413</v>
      </c>
      <c r="C28" s="166">
        <f t="shared" si="2"/>
        <v>6</v>
      </c>
      <c r="D28" s="67">
        <v>13</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42414</v>
      </c>
      <c r="C29" s="166">
        <f t="shared" si="2"/>
        <v>6</v>
      </c>
      <c r="D29" s="67">
        <v>14</v>
      </c>
      <c r="E29" s="84" t="s">
        <v>32</v>
      </c>
      <c r="F29" s="186"/>
      <c r="G29" s="186"/>
      <c r="H29" s="86">
        <f t="shared" si="0"/>
        <v>0</v>
      </c>
      <c r="I29" s="187"/>
      <c r="J29" s="186"/>
      <c r="K29" s="86">
        <f t="shared" si="1"/>
        <v>0</v>
      </c>
      <c r="L29" s="188"/>
      <c r="M29" s="189"/>
      <c r="N29" s="86"/>
      <c r="O29" s="188">
        <f t="shared" si="5"/>
        <v>0</v>
      </c>
    </row>
    <row r="30" spans="2:15" ht="21" customHeight="1" x14ac:dyDescent="0.25">
      <c r="B30" s="167">
        <v>42415</v>
      </c>
      <c r="C30" s="166">
        <f t="shared" si="2"/>
        <v>7</v>
      </c>
      <c r="D30" s="67">
        <v>15</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42416</v>
      </c>
      <c r="C31" s="166">
        <f t="shared" si="2"/>
        <v>7</v>
      </c>
      <c r="D31" s="67">
        <v>16</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42417</v>
      </c>
      <c r="C32" s="166">
        <f t="shared" si="2"/>
        <v>7</v>
      </c>
      <c r="D32" s="67">
        <v>17</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42418</v>
      </c>
      <c r="C33" s="166">
        <f t="shared" si="2"/>
        <v>7</v>
      </c>
      <c r="D33" s="67">
        <v>18</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42419</v>
      </c>
      <c r="C34" s="166">
        <f t="shared" si="2"/>
        <v>7</v>
      </c>
      <c r="D34" s="67">
        <v>19</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42420</v>
      </c>
      <c r="C35" s="166">
        <f t="shared" si="2"/>
        <v>7</v>
      </c>
      <c r="D35" s="67">
        <v>20</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42421</v>
      </c>
      <c r="C36" s="166">
        <f t="shared" si="2"/>
        <v>7</v>
      </c>
      <c r="D36" s="67">
        <v>21</v>
      </c>
      <c r="E36" s="84" t="s">
        <v>32</v>
      </c>
      <c r="F36" s="186"/>
      <c r="G36" s="186"/>
      <c r="H36" s="86">
        <f t="shared" si="0"/>
        <v>0</v>
      </c>
      <c r="I36" s="187"/>
      <c r="J36" s="186"/>
      <c r="K36" s="86">
        <f t="shared" si="1"/>
        <v>0</v>
      </c>
      <c r="L36" s="188"/>
      <c r="M36" s="189"/>
      <c r="N36" s="86"/>
      <c r="O36" s="188">
        <f t="shared" si="5"/>
        <v>0</v>
      </c>
    </row>
    <row r="37" spans="2:15" ht="21" customHeight="1" x14ac:dyDescent="0.25">
      <c r="B37" s="167">
        <v>42422</v>
      </c>
      <c r="C37" s="166">
        <f t="shared" si="2"/>
        <v>8</v>
      </c>
      <c r="D37" s="67">
        <v>22</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42423</v>
      </c>
      <c r="C38" s="166">
        <f t="shared" si="2"/>
        <v>8</v>
      </c>
      <c r="D38" s="67">
        <v>23</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42424</v>
      </c>
      <c r="C39" s="166">
        <f t="shared" si="2"/>
        <v>8</v>
      </c>
      <c r="D39" s="67">
        <v>24</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42425</v>
      </c>
      <c r="C40" s="166">
        <f t="shared" si="2"/>
        <v>8</v>
      </c>
      <c r="D40" s="67">
        <v>25</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42426</v>
      </c>
      <c r="C41" s="166">
        <f t="shared" ref="C41:C44" si="9">TRUNC((B41-DATE(YEAR(B41+3-MOD(B41-2,7)),1,MOD(B41-2,7)-9))/7)</f>
        <v>8</v>
      </c>
      <c r="D41" s="67">
        <v>26</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42427</v>
      </c>
      <c r="C42" s="166">
        <f t="shared" si="9"/>
        <v>8</v>
      </c>
      <c r="D42" s="67">
        <v>27</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42428</v>
      </c>
      <c r="C43" s="166">
        <f t="shared" si="9"/>
        <v>8</v>
      </c>
      <c r="D43" s="67">
        <v>28</v>
      </c>
      <c r="E43" s="84" t="s">
        <v>32</v>
      </c>
      <c r="F43" s="186"/>
      <c r="G43" s="186"/>
      <c r="H43" s="86">
        <f t="shared" si="0"/>
        <v>0</v>
      </c>
      <c r="I43" s="187"/>
      <c r="J43" s="186"/>
      <c r="K43" s="86">
        <f t="shared" si="1"/>
        <v>0</v>
      </c>
      <c r="L43" s="188"/>
      <c r="M43" s="189"/>
      <c r="N43" s="86"/>
      <c r="O43" s="188">
        <f t="shared" si="5"/>
        <v>0</v>
      </c>
    </row>
    <row r="44" spans="2:15" ht="21" customHeight="1" x14ac:dyDescent="0.25">
      <c r="B44" s="167">
        <v>42429</v>
      </c>
      <c r="C44" s="166">
        <f t="shared" si="9"/>
        <v>9</v>
      </c>
      <c r="D44" s="67">
        <v>29</v>
      </c>
      <c r="E44" s="43" t="s">
        <v>26</v>
      </c>
      <c r="F44" s="44"/>
      <c r="G44" s="44"/>
      <c r="H44" s="75">
        <f t="shared" si="0"/>
        <v>0</v>
      </c>
      <c r="I44" s="45"/>
      <c r="J44" s="44"/>
      <c r="K44" s="75">
        <f t="shared" si="1"/>
        <v>0</v>
      </c>
      <c r="L44" s="59">
        <f t="shared" ref="L44:L48" si="10">(IF((H44+K44)&gt;0.375,0.0416666666666667,IF((H44+K44)&gt;0.25,0.0208333333333333,0)))</f>
        <v>0</v>
      </c>
      <c r="M44" s="46"/>
      <c r="N44" s="75"/>
      <c r="O44" s="59">
        <f t="shared" si="5"/>
        <v>0</v>
      </c>
    </row>
    <row r="45" spans="2:15" ht="21" customHeight="1" thickBot="1" x14ac:dyDescent="0.3">
      <c r="B45" s="167"/>
      <c r="C45" s="170"/>
      <c r="D45" s="83"/>
      <c r="E45" s="43" t="s">
        <v>27</v>
      </c>
      <c r="F45" s="44"/>
      <c r="G45" s="44"/>
      <c r="H45" s="58">
        <f t="shared" si="0"/>
        <v>0</v>
      </c>
      <c r="I45" s="45"/>
      <c r="J45" s="44"/>
      <c r="K45" s="58">
        <f t="shared" si="1"/>
        <v>0</v>
      </c>
      <c r="L45" s="59">
        <f t="shared" si="10"/>
        <v>0</v>
      </c>
      <c r="M45" s="46"/>
      <c r="N45" s="58"/>
      <c r="O45" s="59">
        <f t="shared" si="5"/>
        <v>0</v>
      </c>
    </row>
    <row r="46" spans="2:15" ht="21" customHeight="1" thickBot="1" x14ac:dyDescent="0.3">
      <c r="B46" s="167"/>
      <c r="C46" s="170"/>
      <c r="D46" s="83"/>
      <c r="E46" s="43" t="s">
        <v>28</v>
      </c>
      <c r="F46" s="44"/>
      <c r="G46" s="44"/>
      <c r="H46" s="58">
        <f t="shared" si="0"/>
        <v>0</v>
      </c>
      <c r="I46" s="45"/>
      <c r="J46" s="44"/>
      <c r="K46" s="58">
        <f t="shared" si="1"/>
        <v>0</v>
      </c>
      <c r="L46" s="59">
        <f t="shared" si="10"/>
        <v>0</v>
      </c>
      <c r="M46" s="46"/>
      <c r="N46" s="58"/>
      <c r="O46" s="59">
        <f t="shared" si="5"/>
        <v>0</v>
      </c>
    </row>
    <row r="47" spans="2:15" ht="21" customHeight="1" thickBot="1" x14ac:dyDescent="0.3">
      <c r="B47" s="167"/>
      <c r="C47" s="170"/>
      <c r="D47" s="83"/>
      <c r="E47" s="43" t="s">
        <v>29</v>
      </c>
      <c r="F47" s="44"/>
      <c r="G47" s="44"/>
      <c r="H47" s="58">
        <f t="shared" si="0"/>
        <v>0</v>
      </c>
      <c r="I47" s="45"/>
      <c r="J47" s="44"/>
      <c r="K47" s="58">
        <f t="shared" si="1"/>
        <v>0</v>
      </c>
      <c r="L47" s="59">
        <f t="shared" si="10"/>
        <v>0</v>
      </c>
      <c r="M47" s="46"/>
      <c r="N47" s="58"/>
      <c r="O47" s="59">
        <f t="shared" si="5"/>
        <v>0</v>
      </c>
    </row>
    <row r="48" spans="2:15" ht="21" customHeight="1" thickBot="1" x14ac:dyDescent="0.3">
      <c r="B48" s="167"/>
      <c r="C48" s="170"/>
      <c r="D48" s="83"/>
      <c r="E48" s="70" t="s">
        <v>30</v>
      </c>
      <c r="F48" s="71"/>
      <c r="G48" s="71"/>
      <c r="H48" s="72">
        <f t="shared" si="0"/>
        <v>0</v>
      </c>
      <c r="I48" s="64"/>
      <c r="J48" s="71"/>
      <c r="K48" s="72">
        <f t="shared" si="1"/>
        <v>0</v>
      </c>
      <c r="L48" s="74">
        <f t="shared" si="10"/>
        <v>0</v>
      </c>
      <c r="M48" s="73"/>
      <c r="N48" s="72"/>
      <c r="O48" s="74">
        <f t="shared" si="5"/>
        <v>0</v>
      </c>
    </row>
    <row r="49" spans="2:15" ht="21" customHeight="1" thickBot="1" x14ac:dyDescent="0.3">
      <c r="B49" s="167"/>
      <c r="C49" s="170"/>
      <c r="D49" s="83"/>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5</v>
      </c>
      <c r="L55" s="153">
        <f>SUMIF(C16:C50,K55,O16:O50)</f>
        <v>0</v>
      </c>
      <c r="M55" s="154" t="str">
        <f>IF(L55=0,"",((($G$11-L55)*24)*-1)*60)</f>
        <v/>
      </c>
    </row>
    <row r="56" spans="2:15" s="155" customFormat="1" x14ac:dyDescent="0.25">
      <c r="C56" s="171"/>
      <c r="D56" s="173"/>
      <c r="K56" s="152">
        <v>6</v>
      </c>
      <c r="L56" s="153">
        <f t="shared" ref="L56:L59" si="11">SUMIF(C17:C51,K56,O17:O51)</f>
        <v>0</v>
      </c>
      <c r="M56" s="154" t="str">
        <f t="shared" ref="M56:M59" si="12">IF(L56=0,"",((($G$11-L56)*24)*-1)*60)</f>
        <v/>
      </c>
    </row>
    <row r="57" spans="2:15" s="155" customFormat="1" x14ac:dyDescent="0.25">
      <c r="C57" s="171"/>
      <c r="D57" s="173"/>
      <c r="K57" s="152">
        <v>7</v>
      </c>
      <c r="L57" s="153">
        <f t="shared" si="11"/>
        <v>0</v>
      </c>
      <c r="M57" s="154" t="str">
        <f t="shared" si="12"/>
        <v/>
      </c>
    </row>
    <row r="58" spans="2:15" s="155" customFormat="1" x14ac:dyDescent="0.25">
      <c r="C58" s="171"/>
      <c r="D58" s="173"/>
      <c r="K58" s="152">
        <v>8</v>
      </c>
      <c r="L58" s="153">
        <f t="shared" si="11"/>
        <v>0</v>
      </c>
      <c r="M58" s="154" t="str">
        <f t="shared" si="12"/>
        <v/>
      </c>
    </row>
    <row r="59" spans="2:15" s="155" customFormat="1" x14ac:dyDescent="0.25">
      <c r="C59" s="171"/>
      <c r="D59" s="173"/>
      <c r="J59" s="150" t="s">
        <v>60</v>
      </c>
      <c r="K59" s="152">
        <v>9</v>
      </c>
      <c r="L59" s="153">
        <f t="shared" si="11"/>
        <v>0</v>
      </c>
      <c r="M59" s="154" t="str">
        <f t="shared" si="12"/>
        <v/>
      </c>
    </row>
    <row r="60" spans="2:15" s="155" customFormat="1" ht="13" x14ac:dyDescent="0.3">
      <c r="C60" s="172"/>
      <c r="D60" s="173"/>
      <c r="K60" s="218" t="s">
        <v>64</v>
      </c>
      <c r="L60" s="219"/>
      <c r="M60" s="156">
        <f>SUM(M55:M59)</f>
        <v>0</v>
      </c>
    </row>
    <row r="61" spans="2:15" ht="55.5" customHeight="1" x14ac:dyDescent="0.3">
      <c r="B61" s="155"/>
      <c r="C61" s="172"/>
      <c r="D61" s="68"/>
      <c r="E61" s="47"/>
      <c r="F61" s="47"/>
      <c r="G61" s="47"/>
      <c r="H61" s="47"/>
      <c r="I61" s="47"/>
      <c r="J61" s="48"/>
      <c r="K61" s="139"/>
      <c r="L61" s="139"/>
      <c r="M61" s="140"/>
      <c r="N61" s="140"/>
      <c r="O61" s="141"/>
    </row>
    <row r="62" spans="2:15" x14ac:dyDescent="0.25">
      <c r="B62" s="155"/>
      <c r="C62" s="171"/>
      <c r="J62" s="51" t="s">
        <v>38</v>
      </c>
      <c r="K62" s="51"/>
      <c r="L62" s="52"/>
      <c r="O62" s="53" t="s">
        <v>40</v>
      </c>
    </row>
    <row r="63" spans="2:15" ht="13" x14ac:dyDescent="0.3">
      <c r="B63" s="155"/>
      <c r="C63" s="172"/>
      <c r="J63" s="51"/>
      <c r="K63" s="51"/>
      <c r="L63" s="155"/>
      <c r="M63" s="159"/>
      <c r="N63" s="159"/>
      <c r="O63" s="160"/>
    </row>
    <row r="64" spans="2:15" x14ac:dyDescent="0.25">
      <c r="B64" s="155"/>
      <c r="C64" s="171"/>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Dj+1hPHIM39XeHR8F4FiSjmOgjMGt+J5KTp1HOx+bhQyF3FwdjoYJkJGJ8aeWy34QdesWtKo/ENh4xA3PyFt1Q==" saltValue="YwgCe/EVle6TmSgz0VZa9Q=="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11" priority="1" operator="lessThan">
      <formula>0</formula>
    </cfRule>
  </conditionalFormatting>
  <pageMargins left="0.5" right="0.5" top="0.75" bottom="0" header="0.5" footer="0"/>
  <pageSetup paperSize="9" scale="5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73</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42430</v>
      </c>
      <c r="C17" s="166">
        <f t="shared" ref="C17:C47" si="2">TRUNC((B17-DATE(YEAR(B17+3-MOD(B17-2,7)),1,MOD(B17-2,7)-9))/7)</f>
        <v>9</v>
      </c>
      <c r="D17" s="67">
        <v>1</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42431</v>
      </c>
      <c r="C18" s="166">
        <f t="shared" si="2"/>
        <v>9</v>
      </c>
      <c r="D18" s="67">
        <v>2</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42432</v>
      </c>
      <c r="C19" s="166">
        <f t="shared" si="2"/>
        <v>9</v>
      </c>
      <c r="D19" s="67">
        <v>3</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42433</v>
      </c>
      <c r="C20" s="166">
        <f t="shared" si="2"/>
        <v>9</v>
      </c>
      <c r="D20" s="67">
        <v>4</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42434</v>
      </c>
      <c r="C21" s="166">
        <f t="shared" si="2"/>
        <v>9</v>
      </c>
      <c r="D21" s="67">
        <v>5</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42435</v>
      </c>
      <c r="C22" s="166">
        <f t="shared" si="2"/>
        <v>9</v>
      </c>
      <c r="D22" s="67">
        <v>6</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42436</v>
      </c>
      <c r="C23" s="166">
        <f t="shared" si="2"/>
        <v>10</v>
      </c>
      <c r="D23" s="67">
        <v>7</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42437</v>
      </c>
      <c r="C24" s="166">
        <f t="shared" si="2"/>
        <v>10</v>
      </c>
      <c r="D24" s="67">
        <v>8</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42438</v>
      </c>
      <c r="C25" s="166">
        <f t="shared" si="2"/>
        <v>10</v>
      </c>
      <c r="D25" s="67">
        <v>9</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42439</v>
      </c>
      <c r="C26" s="166">
        <f t="shared" si="2"/>
        <v>10</v>
      </c>
      <c r="D26" s="67">
        <v>10</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42440</v>
      </c>
      <c r="C27" s="166">
        <f t="shared" si="2"/>
        <v>10</v>
      </c>
      <c r="D27" s="67">
        <v>11</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42441</v>
      </c>
      <c r="C28" s="166">
        <f t="shared" si="2"/>
        <v>10</v>
      </c>
      <c r="D28" s="67">
        <v>12</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42442</v>
      </c>
      <c r="C29" s="166">
        <f t="shared" si="2"/>
        <v>10</v>
      </c>
      <c r="D29" s="67">
        <v>13</v>
      </c>
      <c r="E29" s="84" t="s">
        <v>32</v>
      </c>
      <c r="F29" s="186"/>
      <c r="G29" s="186"/>
      <c r="H29" s="86">
        <f t="shared" si="0"/>
        <v>0</v>
      </c>
      <c r="I29" s="187"/>
      <c r="J29" s="186"/>
      <c r="K29" s="86">
        <f t="shared" si="1"/>
        <v>0</v>
      </c>
      <c r="L29" s="188"/>
      <c r="M29" s="189"/>
      <c r="N29" s="86"/>
      <c r="O29" s="188">
        <f t="shared" si="5"/>
        <v>0</v>
      </c>
    </row>
    <row r="30" spans="2:15" ht="21" customHeight="1" x14ac:dyDescent="0.25">
      <c r="B30" s="167">
        <v>42443</v>
      </c>
      <c r="C30" s="166">
        <f t="shared" si="2"/>
        <v>11</v>
      </c>
      <c r="D30" s="67">
        <v>14</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42444</v>
      </c>
      <c r="C31" s="166">
        <f t="shared" si="2"/>
        <v>11</v>
      </c>
      <c r="D31" s="67">
        <v>15</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42445</v>
      </c>
      <c r="C32" s="166">
        <f t="shared" si="2"/>
        <v>11</v>
      </c>
      <c r="D32" s="67">
        <v>16</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42446</v>
      </c>
      <c r="C33" s="166">
        <f t="shared" si="2"/>
        <v>11</v>
      </c>
      <c r="D33" s="67">
        <v>17</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42447</v>
      </c>
      <c r="C34" s="166">
        <f t="shared" si="2"/>
        <v>11</v>
      </c>
      <c r="D34" s="67">
        <v>18</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42448</v>
      </c>
      <c r="C35" s="166">
        <f t="shared" si="2"/>
        <v>11</v>
      </c>
      <c r="D35" s="67">
        <v>19</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42449</v>
      </c>
      <c r="C36" s="166">
        <f t="shared" si="2"/>
        <v>11</v>
      </c>
      <c r="D36" s="67">
        <v>20</v>
      </c>
      <c r="E36" s="84" t="s">
        <v>32</v>
      </c>
      <c r="F36" s="186"/>
      <c r="G36" s="186"/>
      <c r="H36" s="86">
        <f t="shared" si="0"/>
        <v>0</v>
      </c>
      <c r="I36" s="187"/>
      <c r="J36" s="186"/>
      <c r="K36" s="86">
        <f t="shared" si="1"/>
        <v>0</v>
      </c>
      <c r="L36" s="188"/>
      <c r="M36" s="189"/>
      <c r="N36" s="86"/>
      <c r="O36" s="188">
        <f t="shared" si="5"/>
        <v>0</v>
      </c>
    </row>
    <row r="37" spans="2:15" ht="21" customHeight="1" x14ac:dyDescent="0.25">
      <c r="B37" s="167">
        <v>42450</v>
      </c>
      <c r="C37" s="166">
        <f t="shared" si="2"/>
        <v>12</v>
      </c>
      <c r="D37" s="67">
        <v>21</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42451</v>
      </c>
      <c r="C38" s="166">
        <f t="shared" si="2"/>
        <v>12</v>
      </c>
      <c r="D38" s="67">
        <v>22</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42452</v>
      </c>
      <c r="C39" s="166">
        <f t="shared" si="2"/>
        <v>12</v>
      </c>
      <c r="D39" s="67">
        <v>23</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42453</v>
      </c>
      <c r="C40" s="166">
        <f t="shared" si="2"/>
        <v>12</v>
      </c>
      <c r="D40" s="67">
        <v>24</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42454</v>
      </c>
      <c r="C41" s="166">
        <f t="shared" si="2"/>
        <v>12</v>
      </c>
      <c r="D41" s="67">
        <v>25</v>
      </c>
      <c r="E41" s="70" t="s">
        <v>30</v>
      </c>
      <c r="F41" s="95"/>
      <c r="G41" s="95"/>
      <c r="H41" s="96">
        <f t="shared" si="0"/>
        <v>0</v>
      </c>
      <c r="I41" s="97"/>
      <c r="J41" s="95"/>
      <c r="K41" s="96">
        <f t="shared" si="1"/>
        <v>0</v>
      </c>
      <c r="L41" s="99">
        <f t="shared" si="8"/>
        <v>0</v>
      </c>
      <c r="M41" s="98"/>
      <c r="N41" s="96"/>
      <c r="O41" s="99">
        <f t="shared" si="5"/>
        <v>0</v>
      </c>
    </row>
    <row r="42" spans="2:15" ht="21" customHeight="1" x14ac:dyDescent="0.25">
      <c r="B42" s="167">
        <v>42455</v>
      </c>
      <c r="C42" s="166">
        <f t="shared" si="2"/>
        <v>12</v>
      </c>
      <c r="D42" s="67">
        <v>26</v>
      </c>
      <c r="E42" s="77" t="s">
        <v>31</v>
      </c>
      <c r="F42" s="174"/>
      <c r="G42" s="174"/>
      <c r="H42" s="101">
        <f t="shared" si="0"/>
        <v>0</v>
      </c>
      <c r="I42" s="175"/>
      <c r="J42" s="174"/>
      <c r="K42" s="101">
        <f t="shared" si="1"/>
        <v>0</v>
      </c>
      <c r="L42" s="176"/>
      <c r="M42" s="177"/>
      <c r="N42" s="101"/>
      <c r="O42" s="176"/>
    </row>
    <row r="43" spans="2:15" ht="21" customHeight="1" thickBot="1" x14ac:dyDescent="0.3">
      <c r="B43" s="167">
        <v>42456</v>
      </c>
      <c r="C43" s="166">
        <f t="shared" si="2"/>
        <v>12</v>
      </c>
      <c r="D43" s="67">
        <v>27</v>
      </c>
      <c r="E43" s="84" t="s">
        <v>32</v>
      </c>
      <c r="F43" s="178"/>
      <c r="G43" s="178"/>
      <c r="H43" s="105">
        <f t="shared" si="0"/>
        <v>0</v>
      </c>
      <c r="I43" s="179"/>
      <c r="J43" s="178"/>
      <c r="K43" s="105">
        <f t="shared" si="1"/>
        <v>0</v>
      </c>
      <c r="L43" s="180"/>
      <c r="M43" s="181"/>
      <c r="N43" s="105"/>
      <c r="O43" s="180"/>
    </row>
    <row r="44" spans="2:15" ht="21" customHeight="1" x14ac:dyDescent="0.25">
      <c r="B44" s="167">
        <v>42457</v>
      </c>
      <c r="C44" s="166">
        <f t="shared" si="2"/>
        <v>13</v>
      </c>
      <c r="D44" s="67">
        <v>28</v>
      </c>
      <c r="E44" s="43" t="s">
        <v>26</v>
      </c>
      <c r="F44" s="90"/>
      <c r="G44" s="90"/>
      <c r="H44" s="106">
        <f t="shared" si="0"/>
        <v>0</v>
      </c>
      <c r="I44" s="92"/>
      <c r="J44" s="90"/>
      <c r="K44" s="106">
        <f t="shared" si="1"/>
        <v>0</v>
      </c>
      <c r="L44" s="94">
        <f t="shared" ref="L44:L48" si="9">(IF((H44+K44)&gt;0.375,0.0416666666666667,IF((H44+K44)&gt;0.25,0.0208333333333333,0)))</f>
        <v>0</v>
      </c>
      <c r="M44" s="93"/>
      <c r="N44" s="106"/>
      <c r="O44" s="94">
        <f t="shared" si="5"/>
        <v>0</v>
      </c>
    </row>
    <row r="45" spans="2:15" ht="21" customHeight="1" x14ac:dyDescent="0.25">
      <c r="B45" s="167">
        <v>42458</v>
      </c>
      <c r="C45" s="166">
        <f t="shared" si="2"/>
        <v>13</v>
      </c>
      <c r="D45" s="67">
        <v>29</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v>42459</v>
      </c>
      <c r="C46" s="166">
        <f t="shared" si="2"/>
        <v>13</v>
      </c>
      <c r="D46" s="67">
        <v>30</v>
      </c>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v>42460</v>
      </c>
      <c r="C47" s="166">
        <f t="shared" si="2"/>
        <v>13</v>
      </c>
      <c r="D47" s="67">
        <v>31</v>
      </c>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70"/>
      <c r="D48" s="83"/>
      <c r="E48" s="70" t="s">
        <v>30</v>
      </c>
      <c r="F48" s="71"/>
      <c r="G48" s="71"/>
      <c r="H48" s="72">
        <f t="shared" si="0"/>
        <v>0</v>
      </c>
      <c r="I48" s="64"/>
      <c r="J48" s="71"/>
      <c r="K48" s="72">
        <f t="shared" si="1"/>
        <v>0</v>
      </c>
      <c r="L48" s="74">
        <f t="shared" si="9"/>
        <v>0</v>
      </c>
      <c r="M48" s="73"/>
      <c r="N48" s="72"/>
      <c r="O48" s="74">
        <f t="shared" si="5"/>
        <v>0</v>
      </c>
    </row>
    <row r="49" spans="2:15" ht="21" customHeight="1" thickBot="1" x14ac:dyDescent="0.3">
      <c r="B49" s="167"/>
      <c r="C49" s="170"/>
      <c r="D49" s="83"/>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9</v>
      </c>
      <c r="L55" s="153">
        <f>SUMIF(C16:C50,K55,O16:O50)</f>
        <v>0</v>
      </c>
      <c r="M55" s="154" t="str">
        <f>IF(L55=0,"",((($G$11-L55)*24)*-1)*60)</f>
        <v/>
      </c>
    </row>
    <row r="56" spans="2:15" s="155" customFormat="1" x14ac:dyDescent="0.25">
      <c r="C56" s="171"/>
      <c r="D56" s="173"/>
      <c r="K56" s="152">
        <f t="shared" ref="K56:K59" si="10">K55+1</f>
        <v>10</v>
      </c>
      <c r="L56" s="153">
        <f t="shared" ref="L56:L59" si="11">SUMIF(C17:C51,K56,O17:O51)</f>
        <v>0</v>
      </c>
      <c r="M56" s="154" t="str">
        <f t="shared" ref="M56:M59" si="12">IF(L56=0,"",((($G$11-L56)*24)*-1)*60)</f>
        <v/>
      </c>
    </row>
    <row r="57" spans="2:15" s="155" customFormat="1" x14ac:dyDescent="0.25">
      <c r="C57" s="171"/>
      <c r="D57" s="173"/>
      <c r="K57" s="152">
        <f t="shared" si="10"/>
        <v>11</v>
      </c>
      <c r="L57" s="153">
        <f t="shared" si="11"/>
        <v>0</v>
      </c>
      <c r="M57" s="154" t="str">
        <f t="shared" si="12"/>
        <v/>
      </c>
    </row>
    <row r="58" spans="2:15" s="155" customFormat="1" x14ac:dyDescent="0.25">
      <c r="C58" s="171"/>
      <c r="D58" s="173"/>
      <c r="K58" s="152">
        <f t="shared" si="10"/>
        <v>12</v>
      </c>
      <c r="L58" s="153">
        <f t="shared" si="11"/>
        <v>0</v>
      </c>
      <c r="M58" s="154" t="str">
        <f t="shared" si="12"/>
        <v/>
      </c>
    </row>
    <row r="59" spans="2:15" s="155" customFormat="1" x14ac:dyDescent="0.25">
      <c r="C59" s="171"/>
      <c r="D59" s="173"/>
      <c r="J59" s="150" t="s">
        <v>60</v>
      </c>
      <c r="K59" s="152">
        <f t="shared" si="10"/>
        <v>13</v>
      </c>
      <c r="L59" s="153">
        <f t="shared" si="11"/>
        <v>0</v>
      </c>
      <c r="M59" s="154" t="str">
        <f t="shared" si="12"/>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9jA+R6Zy9WvdVWUV6SrjcTVq6t6ma7GSTwZuHDScIZGFeTbYjh2uAuuDCg7RJvpcmHzzAEDKPUSQQxJt7ordHA==" saltValue="y9ZBqTSbtplwiDYTmAod2Q=="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10" priority="1" operator="lessThan">
      <formula>0</formula>
    </cfRule>
  </conditionalFormatting>
  <pageMargins left="0.5" right="0.5" top="0.75" bottom="0" header="0.5" footer="0"/>
  <pageSetup paperSize="9" scale="5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rgb="FF92D050"/>
    <pageSetUpPr fitToPage="1"/>
  </sheetPr>
  <dimension ref="B1:P68"/>
  <sheetViews>
    <sheetView showGridLines="0" showZeros="0" topLeftCell="A34"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10</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42461</v>
      </c>
      <c r="C20" s="166">
        <f>TRUNC((B20-DATE(YEAR(B20+3-MOD(B20-2,7)),1,MOD(B20-2,7)-9))/7)</f>
        <v>13</v>
      </c>
      <c r="D20" s="67">
        <v>1</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42462</v>
      </c>
      <c r="C21" s="166">
        <f t="shared" ref="C21:C49" si="5">TRUNC((B21-DATE(YEAR(B21+3-MOD(B21-2,7)),1,MOD(B21-2,7)-9))/7)</f>
        <v>13</v>
      </c>
      <c r="D21" s="67">
        <v>2</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42463</v>
      </c>
      <c r="C22" s="166">
        <f t="shared" si="5"/>
        <v>13</v>
      </c>
      <c r="D22" s="67">
        <v>3</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42464</v>
      </c>
      <c r="C23" s="166">
        <f t="shared" si="5"/>
        <v>14</v>
      </c>
      <c r="D23" s="67">
        <v>4</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42465</v>
      </c>
      <c r="C24" s="166">
        <f t="shared" si="5"/>
        <v>14</v>
      </c>
      <c r="D24" s="67">
        <v>5</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42466</v>
      </c>
      <c r="C25" s="166">
        <f t="shared" si="5"/>
        <v>14</v>
      </c>
      <c r="D25" s="67">
        <v>6</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42467</v>
      </c>
      <c r="C26" s="166">
        <f t="shared" si="5"/>
        <v>14</v>
      </c>
      <c r="D26" s="67">
        <v>7</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42468</v>
      </c>
      <c r="C27" s="166">
        <f t="shared" si="5"/>
        <v>14</v>
      </c>
      <c r="D27" s="67">
        <v>8</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42469</v>
      </c>
      <c r="C28" s="166">
        <f t="shared" si="5"/>
        <v>14</v>
      </c>
      <c r="D28" s="67">
        <v>9</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42470</v>
      </c>
      <c r="C29" s="166">
        <f t="shared" si="5"/>
        <v>14</v>
      </c>
      <c r="D29" s="67">
        <v>10</v>
      </c>
      <c r="E29" s="84" t="s">
        <v>32</v>
      </c>
      <c r="F29" s="186"/>
      <c r="G29" s="186"/>
      <c r="H29" s="86">
        <f t="shared" si="0"/>
        <v>0</v>
      </c>
      <c r="I29" s="187"/>
      <c r="J29" s="186"/>
      <c r="K29" s="86">
        <f t="shared" si="1"/>
        <v>0</v>
      </c>
      <c r="L29" s="188"/>
      <c r="M29" s="189"/>
      <c r="N29" s="86"/>
      <c r="O29" s="188">
        <f t="shared" si="4"/>
        <v>0</v>
      </c>
    </row>
    <row r="30" spans="2:15" ht="21" customHeight="1" x14ac:dyDescent="0.25">
      <c r="B30" s="167">
        <v>42471</v>
      </c>
      <c r="C30" s="166">
        <f t="shared" si="5"/>
        <v>15</v>
      </c>
      <c r="D30" s="67">
        <v>11</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42472</v>
      </c>
      <c r="C31" s="166">
        <f t="shared" si="5"/>
        <v>15</v>
      </c>
      <c r="D31" s="67">
        <v>12</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42473</v>
      </c>
      <c r="C32" s="166">
        <f t="shared" si="5"/>
        <v>15</v>
      </c>
      <c r="D32" s="67">
        <v>13</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42474</v>
      </c>
      <c r="C33" s="166">
        <f t="shared" si="5"/>
        <v>15</v>
      </c>
      <c r="D33" s="67">
        <v>14</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42475</v>
      </c>
      <c r="C34" s="166">
        <f t="shared" si="5"/>
        <v>15</v>
      </c>
      <c r="D34" s="67">
        <v>15</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42476</v>
      </c>
      <c r="C35" s="166">
        <f t="shared" si="5"/>
        <v>15</v>
      </c>
      <c r="D35" s="67">
        <v>16</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42477</v>
      </c>
      <c r="C36" s="166">
        <f t="shared" si="5"/>
        <v>15</v>
      </c>
      <c r="D36" s="67">
        <v>17</v>
      </c>
      <c r="E36" s="84" t="s">
        <v>32</v>
      </c>
      <c r="F36" s="186"/>
      <c r="G36" s="186"/>
      <c r="H36" s="86">
        <f t="shared" si="0"/>
        <v>0</v>
      </c>
      <c r="I36" s="187"/>
      <c r="J36" s="186"/>
      <c r="K36" s="86">
        <f t="shared" si="1"/>
        <v>0</v>
      </c>
      <c r="L36" s="188"/>
      <c r="M36" s="189"/>
      <c r="N36" s="86"/>
      <c r="O36" s="188">
        <f t="shared" si="4"/>
        <v>0</v>
      </c>
    </row>
    <row r="37" spans="2:15" ht="21" customHeight="1" x14ac:dyDescent="0.25">
      <c r="B37" s="167">
        <v>42478</v>
      </c>
      <c r="C37" s="166">
        <f t="shared" si="5"/>
        <v>16</v>
      </c>
      <c r="D37" s="67">
        <v>18</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42479</v>
      </c>
      <c r="C38" s="166">
        <f t="shared" si="5"/>
        <v>16</v>
      </c>
      <c r="D38" s="67">
        <v>19</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42480</v>
      </c>
      <c r="C39" s="166">
        <f t="shared" si="5"/>
        <v>16</v>
      </c>
      <c r="D39" s="67">
        <v>20</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42481</v>
      </c>
      <c r="C40" s="166">
        <f t="shared" si="5"/>
        <v>16</v>
      </c>
      <c r="D40" s="67">
        <v>21</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42482</v>
      </c>
      <c r="C41" s="166">
        <f t="shared" si="5"/>
        <v>16</v>
      </c>
      <c r="D41" s="67">
        <v>22</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42483</v>
      </c>
      <c r="C42" s="166">
        <f t="shared" si="5"/>
        <v>16</v>
      </c>
      <c r="D42" s="67">
        <v>23</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42484</v>
      </c>
      <c r="C43" s="166">
        <f t="shared" si="5"/>
        <v>16</v>
      </c>
      <c r="D43" s="67">
        <v>24</v>
      </c>
      <c r="E43" s="84" t="s">
        <v>32</v>
      </c>
      <c r="F43" s="186"/>
      <c r="G43" s="186"/>
      <c r="H43" s="86">
        <f t="shared" si="0"/>
        <v>0</v>
      </c>
      <c r="I43" s="187"/>
      <c r="J43" s="186"/>
      <c r="K43" s="86">
        <f t="shared" si="1"/>
        <v>0</v>
      </c>
      <c r="L43" s="188"/>
      <c r="M43" s="189"/>
      <c r="N43" s="86"/>
      <c r="O43" s="188">
        <f t="shared" si="4"/>
        <v>0</v>
      </c>
    </row>
    <row r="44" spans="2:15" ht="21" customHeight="1" x14ac:dyDescent="0.25">
      <c r="B44" s="167">
        <v>42485</v>
      </c>
      <c r="C44" s="166">
        <f t="shared" si="5"/>
        <v>17</v>
      </c>
      <c r="D44" s="67">
        <v>25</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42486</v>
      </c>
      <c r="C45" s="166">
        <f t="shared" si="5"/>
        <v>17</v>
      </c>
      <c r="D45" s="67">
        <v>26</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42487</v>
      </c>
      <c r="C46" s="166">
        <f t="shared" si="5"/>
        <v>17</v>
      </c>
      <c r="D46" s="67">
        <v>27</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42488</v>
      </c>
      <c r="C47" s="166">
        <f t="shared" si="5"/>
        <v>17</v>
      </c>
      <c r="D47" s="67">
        <v>28</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42489</v>
      </c>
      <c r="C48" s="166">
        <f t="shared" si="5"/>
        <v>17</v>
      </c>
      <c r="D48" s="67">
        <v>29</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v>42490</v>
      </c>
      <c r="C49" s="166">
        <f t="shared" si="5"/>
        <v>17</v>
      </c>
      <c r="D49" s="67">
        <v>30</v>
      </c>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13</v>
      </c>
      <c r="L55" s="153">
        <f>SUMIF(C16:C50,K55,O16:O50)</f>
        <v>0</v>
      </c>
      <c r="M55" s="154" t="str">
        <f>IF(L55=0,"",((($G$11-L55)*24)*-1)*60)</f>
        <v/>
      </c>
    </row>
    <row r="56" spans="2:15" s="155" customFormat="1" x14ac:dyDescent="0.25">
      <c r="C56" s="171"/>
      <c r="D56" s="173"/>
      <c r="K56" s="152">
        <f t="shared" ref="K56:K59" si="10">K55+1</f>
        <v>14</v>
      </c>
      <c r="L56" s="153">
        <f t="shared" ref="L56:L59" si="11">SUMIF(C17:C51,K56,O17:O51)</f>
        <v>0</v>
      </c>
      <c r="M56" s="154" t="str">
        <f t="shared" ref="M56:M59" si="12">IF(L56=0,"",((($G$11-L56)*24)*-1)*60)</f>
        <v/>
      </c>
    </row>
    <row r="57" spans="2:15" s="155" customFormat="1" x14ac:dyDescent="0.25">
      <c r="C57" s="171"/>
      <c r="D57" s="173"/>
      <c r="K57" s="152">
        <f t="shared" si="10"/>
        <v>15</v>
      </c>
      <c r="L57" s="153">
        <f t="shared" si="11"/>
        <v>0</v>
      </c>
      <c r="M57" s="154" t="str">
        <f t="shared" si="12"/>
        <v/>
      </c>
    </row>
    <row r="58" spans="2:15" s="155" customFormat="1" x14ac:dyDescent="0.25">
      <c r="C58" s="171"/>
      <c r="D58" s="173"/>
      <c r="K58" s="152">
        <f t="shared" si="10"/>
        <v>16</v>
      </c>
      <c r="L58" s="153">
        <f t="shared" si="11"/>
        <v>0</v>
      </c>
      <c r="M58" s="154" t="str">
        <f t="shared" si="12"/>
        <v/>
      </c>
    </row>
    <row r="59" spans="2:15" s="155" customFormat="1" x14ac:dyDescent="0.25">
      <c r="C59" s="171"/>
      <c r="D59" s="173"/>
      <c r="J59" s="150" t="s">
        <v>60</v>
      </c>
      <c r="K59" s="152">
        <f t="shared" si="10"/>
        <v>17</v>
      </c>
      <c r="L59" s="153">
        <f t="shared" si="11"/>
        <v>0</v>
      </c>
      <c r="M59" s="154" t="str">
        <f t="shared" si="12"/>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qz6mHc0Ie0gz6Z1vd3KEHrDJLXjmgmqsRhvyDx2F0ddVFK245sj52NVWyKfjKPWyrLfyOWnGzPc5eKZRYcaTdA==" saltValue="40yyuwyld2/gnjE8SaIvx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9" priority="1" operator="lessThan">
      <formula>0</formula>
    </cfRule>
  </conditionalFormatting>
  <pageMargins left="0.5" right="0.5" top="0.75" bottom="0" header="0.5" footer="0"/>
  <pageSetup paperSize="9" scale="5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72</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42492</v>
      </c>
      <c r="C16" s="166">
        <f>TRUNC((B16-DATE(YEAR(B16+3-MOD(B16-2,7)),1,MOD(B16-2,7)-9))/7)</f>
        <v>18</v>
      </c>
      <c r="D16" s="43">
        <v>2</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42493</v>
      </c>
      <c r="C17" s="166">
        <f t="shared" ref="C17:C45" si="2">TRUNC((B17-DATE(YEAR(B17+3-MOD(B17-2,7)),1,MOD(B17-2,7)-9))/7)</f>
        <v>18</v>
      </c>
      <c r="D17" s="43">
        <v>3</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42494</v>
      </c>
      <c r="C18" s="166">
        <f t="shared" si="2"/>
        <v>18</v>
      </c>
      <c r="D18" s="43">
        <v>4</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42495</v>
      </c>
      <c r="C19" s="166">
        <f t="shared" si="2"/>
        <v>18</v>
      </c>
      <c r="D19" s="43">
        <v>5</v>
      </c>
      <c r="E19" s="43" t="s">
        <v>29</v>
      </c>
      <c r="F19" s="90"/>
      <c r="G19" s="90"/>
      <c r="H19" s="91">
        <f t="shared" si="0"/>
        <v>0</v>
      </c>
      <c r="I19" s="92"/>
      <c r="J19" s="90"/>
      <c r="K19" s="91">
        <f t="shared" si="1"/>
        <v>0</v>
      </c>
      <c r="L19" s="94">
        <f t="shared" si="3"/>
        <v>0</v>
      </c>
      <c r="M19" s="93"/>
      <c r="N19" s="91" t="str">
        <f t="shared" si="4"/>
        <v/>
      </c>
      <c r="O19" s="94">
        <f t="shared" si="5"/>
        <v>0</v>
      </c>
    </row>
    <row r="20" spans="2:15" ht="21" customHeight="1" thickBot="1" x14ac:dyDescent="0.3">
      <c r="B20" s="167">
        <v>42496</v>
      </c>
      <c r="C20" s="168">
        <f t="shared" si="2"/>
        <v>18</v>
      </c>
      <c r="D20" s="70">
        <v>6</v>
      </c>
      <c r="E20" s="70" t="s">
        <v>30</v>
      </c>
      <c r="F20" s="85"/>
      <c r="G20" s="85"/>
      <c r="H20" s="86">
        <f t="shared" si="0"/>
        <v>0</v>
      </c>
      <c r="I20" s="87"/>
      <c r="J20" s="85"/>
      <c r="K20" s="86">
        <f t="shared" si="1"/>
        <v>0</v>
      </c>
      <c r="L20" s="89">
        <f t="shared" si="3"/>
        <v>0</v>
      </c>
      <c r="M20" s="88"/>
      <c r="N20" s="86" t="str">
        <f t="shared" si="4"/>
        <v/>
      </c>
      <c r="O20" s="89">
        <f t="shared" si="5"/>
        <v>0</v>
      </c>
    </row>
    <row r="21" spans="2:15" ht="21" customHeight="1" x14ac:dyDescent="0.25">
      <c r="B21" s="167">
        <v>42497</v>
      </c>
      <c r="C21" s="169">
        <f t="shared" si="2"/>
        <v>18</v>
      </c>
      <c r="D21" s="77">
        <v>7</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42498</v>
      </c>
      <c r="C22" s="170">
        <f t="shared" si="2"/>
        <v>18</v>
      </c>
      <c r="D22" s="84">
        <v>8</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42499</v>
      </c>
      <c r="C23" s="166">
        <f t="shared" si="2"/>
        <v>19</v>
      </c>
      <c r="D23" s="43">
        <v>9</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42500</v>
      </c>
      <c r="C24" s="166">
        <f t="shared" si="2"/>
        <v>19</v>
      </c>
      <c r="D24" s="43">
        <v>10</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42501</v>
      </c>
      <c r="C25" s="166">
        <f t="shared" si="2"/>
        <v>19</v>
      </c>
      <c r="D25" s="43">
        <v>11</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42502</v>
      </c>
      <c r="C26" s="166">
        <f t="shared" si="2"/>
        <v>19</v>
      </c>
      <c r="D26" s="43">
        <v>12</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42503</v>
      </c>
      <c r="C27" s="168">
        <f t="shared" si="2"/>
        <v>19</v>
      </c>
      <c r="D27" s="70">
        <v>13</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42504</v>
      </c>
      <c r="C28" s="169">
        <f t="shared" si="2"/>
        <v>19</v>
      </c>
      <c r="D28" s="77">
        <v>14</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42505</v>
      </c>
      <c r="C29" s="170">
        <f t="shared" si="2"/>
        <v>19</v>
      </c>
      <c r="D29" s="84">
        <v>15</v>
      </c>
      <c r="E29" s="84" t="s">
        <v>32</v>
      </c>
      <c r="F29" s="186"/>
      <c r="G29" s="186"/>
      <c r="H29" s="86">
        <f t="shared" si="0"/>
        <v>0</v>
      </c>
      <c r="I29" s="187"/>
      <c r="J29" s="186"/>
      <c r="K29" s="86">
        <f t="shared" si="1"/>
        <v>0</v>
      </c>
      <c r="L29" s="188"/>
      <c r="M29" s="189"/>
      <c r="N29" s="86"/>
      <c r="O29" s="188">
        <f t="shared" si="5"/>
        <v>0</v>
      </c>
    </row>
    <row r="30" spans="2:15" ht="21" customHeight="1" x14ac:dyDescent="0.25">
      <c r="B30" s="167">
        <v>42506</v>
      </c>
      <c r="C30" s="166">
        <f t="shared" si="2"/>
        <v>20</v>
      </c>
      <c r="D30" s="43">
        <v>16</v>
      </c>
      <c r="E30" s="43" t="s">
        <v>26</v>
      </c>
      <c r="F30" s="100"/>
      <c r="G30" s="100"/>
      <c r="H30" s="101">
        <f t="shared" si="0"/>
        <v>0</v>
      </c>
      <c r="I30" s="102"/>
      <c r="J30" s="100"/>
      <c r="K30" s="101">
        <f t="shared" si="1"/>
        <v>0</v>
      </c>
      <c r="L30" s="104">
        <f t="shared" ref="L30:L34" si="7">(IF((H30+K30)&gt;0.375,0.0416666666666667,IF((H30+K30)&gt;0.25,0.0208333333333333,0)))</f>
        <v>0</v>
      </c>
      <c r="M30" s="103"/>
      <c r="N30" s="101"/>
      <c r="O30" s="104">
        <f t="shared" si="5"/>
        <v>0</v>
      </c>
    </row>
    <row r="31" spans="2:15" ht="21" customHeight="1" x14ac:dyDescent="0.25">
      <c r="B31" s="167">
        <v>42507</v>
      </c>
      <c r="C31" s="166">
        <f t="shared" si="2"/>
        <v>20</v>
      </c>
      <c r="D31" s="43">
        <v>17</v>
      </c>
      <c r="E31" s="43" t="s">
        <v>27</v>
      </c>
      <c r="F31" s="44"/>
      <c r="G31" s="44"/>
      <c r="H31" s="58">
        <f t="shared" si="0"/>
        <v>0</v>
      </c>
      <c r="I31" s="45"/>
      <c r="J31" s="44"/>
      <c r="K31" s="58">
        <f t="shared" si="1"/>
        <v>0</v>
      </c>
      <c r="L31" s="59">
        <f t="shared" si="7"/>
        <v>0</v>
      </c>
      <c r="M31" s="46"/>
      <c r="N31" s="58"/>
      <c r="O31" s="59">
        <f t="shared" si="5"/>
        <v>0</v>
      </c>
    </row>
    <row r="32" spans="2:15" ht="21" customHeight="1" thickBot="1" x14ac:dyDescent="0.3">
      <c r="B32" s="167">
        <v>42508</v>
      </c>
      <c r="C32" s="166">
        <f t="shared" si="2"/>
        <v>20</v>
      </c>
      <c r="D32" s="43">
        <v>18</v>
      </c>
      <c r="E32" s="43" t="s">
        <v>28</v>
      </c>
      <c r="F32" s="71"/>
      <c r="G32" s="71"/>
      <c r="H32" s="72">
        <f t="shared" si="0"/>
        <v>0</v>
      </c>
      <c r="I32" s="64"/>
      <c r="J32" s="71"/>
      <c r="K32" s="72">
        <f t="shared" si="1"/>
        <v>0</v>
      </c>
      <c r="L32" s="74">
        <f t="shared" si="7"/>
        <v>0</v>
      </c>
      <c r="M32" s="73"/>
      <c r="N32" s="72"/>
      <c r="O32" s="74">
        <f t="shared" si="5"/>
        <v>0</v>
      </c>
    </row>
    <row r="33" spans="2:15" ht="21" customHeight="1" x14ac:dyDescent="0.25">
      <c r="B33" s="167">
        <v>42509</v>
      </c>
      <c r="C33" s="166">
        <f t="shared" si="2"/>
        <v>20</v>
      </c>
      <c r="D33" s="43">
        <v>19</v>
      </c>
      <c r="E33" s="43" t="s">
        <v>29</v>
      </c>
      <c r="F33" s="78"/>
      <c r="G33" s="78"/>
      <c r="H33" s="79">
        <f t="shared" si="0"/>
        <v>0</v>
      </c>
      <c r="I33" s="80"/>
      <c r="J33" s="78"/>
      <c r="K33" s="79">
        <f t="shared" si="1"/>
        <v>0</v>
      </c>
      <c r="L33" s="82">
        <f t="shared" si="7"/>
        <v>0</v>
      </c>
      <c r="M33" s="81"/>
      <c r="N33" s="79"/>
      <c r="O33" s="82">
        <f t="shared" si="5"/>
        <v>0</v>
      </c>
    </row>
    <row r="34" spans="2:15" ht="21" customHeight="1" thickBot="1" x14ac:dyDescent="0.3">
      <c r="B34" s="167">
        <v>42510</v>
      </c>
      <c r="C34" s="168">
        <f t="shared" si="2"/>
        <v>20</v>
      </c>
      <c r="D34" s="70">
        <v>20</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42511</v>
      </c>
      <c r="C35" s="169">
        <f t="shared" si="2"/>
        <v>20</v>
      </c>
      <c r="D35" s="77">
        <v>21</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42512</v>
      </c>
      <c r="C36" s="170">
        <f t="shared" si="2"/>
        <v>20</v>
      </c>
      <c r="D36" s="84">
        <v>22</v>
      </c>
      <c r="E36" s="84" t="s">
        <v>32</v>
      </c>
      <c r="F36" s="186"/>
      <c r="G36" s="186"/>
      <c r="H36" s="86">
        <f t="shared" si="0"/>
        <v>0</v>
      </c>
      <c r="I36" s="187"/>
      <c r="J36" s="186"/>
      <c r="K36" s="86">
        <f t="shared" si="1"/>
        <v>0</v>
      </c>
      <c r="L36" s="188"/>
      <c r="M36" s="189"/>
      <c r="N36" s="86"/>
      <c r="O36" s="188">
        <f t="shared" si="5"/>
        <v>0</v>
      </c>
    </row>
    <row r="37" spans="2:15" ht="21" customHeight="1" x14ac:dyDescent="0.25">
      <c r="B37" s="167">
        <v>42513</v>
      </c>
      <c r="C37" s="166">
        <f t="shared" si="2"/>
        <v>21</v>
      </c>
      <c r="D37" s="43">
        <v>23</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42514</v>
      </c>
      <c r="C38" s="166">
        <f t="shared" si="2"/>
        <v>21</v>
      </c>
      <c r="D38" s="43">
        <v>24</v>
      </c>
      <c r="E38" s="43" t="s">
        <v>27</v>
      </c>
      <c r="F38" s="44"/>
      <c r="G38" s="44"/>
      <c r="H38" s="58">
        <f t="shared" si="0"/>
        <v>0</v>
      </c>
      <c r="I38" s="45"/>
      <c r="J38" s="44"/>
      <c r="K38" s="58">
        <f t="shared" si="1"/>
        <v>0</v>
      </c>
      <c r="L38" s="59">
        <f t="shared" si="8"/>
        <v>0</v>
      </c>
      <c r="M38" s="46"/>
      <c r="N38" s="58"/>
      <c r="O38" s="59">
        <f t="shared" si="5"/>
        <v>0</v>
      </c>
    </row>
    <row r="39" spans="2:15" ht="21" customHeight="1" thickBot="1" x14ac:dyDescent="0.3">
      <c r="B39" s="167">
        <v>42515</v>
      </c>
      <c r="C39" s="166">
        <f t="shared" si="2"/>
        <v>21</v>
      </c>
      <c r="D39" s="43">
        <v>25</v>
      </c>
      <c r="E39" s="43" t="s">
        <v>28</v>
      </c>
      <c r="F39" s="71"/>
      <c r="G39" s="71"/>
      <c r="H39" s="72">
        <f t="shared" si="0"/>
        <v>0</v>
      </c>
      <c r="I39" s="64"/>
      <c r="J39" s="71"/>
      <c r="K39" s="72">
        <f t="shared" si="1"/>
        <v>0</v>
      </c>
      <c r="L39" s="74">
        <f t="shared" si="8"/>
        <v>0</v>
      </c>
      <c r="M39" s="73"/>
      <c r="N39" s="72"/>
      <c r="O39" s="74">
        <f t="shared" si="5"/>
        <v>0</v>
      </c>
    </row>
    <row r="40" spans="2:15" ht="21" customHeight="1" x14ac:dyDescent="0.25">
      <c r="B40" s="167">
        <v>42516</v>
      </c>
      <c r="C40" s="166">
        <f t="shared" si="2"/>
        <v>21</v>
      </c>
      <c r="D40" s="43">
        <v>26</v>
      </c>
      <c r="E40" s="43" t="s">
        <v>29</v>
      </c>
      <c r="F40" s="100"/>
      <c r="G40" s="100"/>
      <c r="H40" s="101">
        <f t="shared" si="0"/>
        <v>0</v>
      </c>
      <c r="I40" s="102"/>
      <c r="J40" s="100"/>
      <c r="K40" s="101">
        <f t="shared" si="1"/>
        <v>0</v>
      </c>
      <c r="L40" s="104">
        <f t="shared" si="8"/>
        <v>0</v>
      </c>
      <c r="M40" s="103"/>
      <c r="N40" s="101"/>
      <c r="O40" s="104">
        <f t="shared" si="5"/>
        <v>0</v>
      </c>
    </row>
    <row r="41" spans="2:15" ht="21" customHeight="1" thickBot="1" x14ac:dyDescent="0.3">
      <c r="B41" s="167">
        <v>42517</v>
      </c>
      <c r="C41" s="168">
        <f t="shared" si="2"/>
        <v>21</v>
      </c>
      <c r="D41" s="70">
        <v>27</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42518</v>
      </c>
      <c r="C42" s="169">
        <f t="shared" si="2"/>
        <v>21</v>
      </c>
      <c r="D42" s="77">
        <v>28</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42519</v>
      </c>
      <c r="C43" s="170">
        <f t="shared" si="2"/>
        <v>21</v>
      </c>
      <c r="D43" s="84">
        <v>29</v>
      </c>
      <c r="E43" s="84" t="s">
        <v>32</v>
      </c>
      <c r="F43" s="186"/>
      <c r="G43" s="186"/>
      <c r="H43" s="86">
        <f t="shared" si="0"/>
        <v>0</v>
      </c>
      <c r="I43" s="187"/>
      <c r="J43" s="186"/>
      <c r="K43" s="86">
        <f t="shared" si="1"/>
        <v>0</v>
      </c>
      <c r="L43" s="188"/>
      <c r="M43" s="189"/>
      <c r="N43" s="86"/>
      <c r="O43" s="188">
        <f t="shared" si="5"/>
        <v>0</v>
      </c>
    </row>
    <row r="44" spans="2:15" ht="21" customHeight="1" x14ac:dyDescent="0.25">
      <c r="B44" s="167">
        <v>42520</v>
      </c>
      <c r="C44" s="166">
        <f t="shared" si="2"/>
        <v>22</v>
      </c>
      <c r="D44" s="43">
        <v>30</v>
      </c>
      <c r="E44" s="43" t="s">
        <v>26</v>
      </c>
      <c r="F44" s="78"/>
      <c r="G44" s="78"/>
      <c r="H44" s="79">
        <f t="shared" si="0"/>
        <v>0</v>
      </c>
      <c r="I44" s="80"/>
      <c r="J44" s="78"/>
      <c r="K44" s="79">
        <f t="shared" si="1"/>
        <v>0</v>
      </c>
      <c r="L44" s="82">
        <f t="shared" ref="L44:L48" si="9">(IF((H44+K44)&gt;0.375,0.0416666666666667,IF((H44+K44)&gt;0.25,0.0208333333333333,0)))</f>
        <v>0</v>
      </c>
      <c r="M44" s="81"/>
      <c r="N44" s="79"/>
      <c r="O44" s="82">
        <f t="shared" si="5"/>
        <v>0</v>
      </c>
    </row>
    <row r="45" spans="2:15" ht="21" customHeight="1" x14ac:dyDescent="0.25">
      <c r="B45" s="167">
        <v>42521</v>
      </c>
      <c r="C45" s="166">
        <f t="shared" si="2"/>
        <v>22</v>
      </c>
      <c r="D45" s="43">
        <v>31</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c r="C46" s="166"/>
      <c r="D46" s="43"/>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43"/>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8"/>
      <c r="D48" s="70"/>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9"/>
      <c r="D49" s="77"/>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4"/>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18</v>
      </c>
      <c r="L55" s="153">
        <f>SUMIF(C16:C50,K55,O16:O50)</f>
        <v>0</v>
      </c>
      <c r="M55" s="154" t="str">
        <f>IF(L55=0,"",((($G$11-L55)*24)*-1)*60)</f>
        <v/>
      </c>
    </row>
    <row r="56" spans="2:15" s="155" customFormat="1" x14ac:dyDescent="0.25">
      <c r="C56" s="171"/>
      <c r="D56" s="173"/>
      <c r="K56" s="152">
        <v>19</v>
      </c>
      <c r="L56" s="153">
        <f t="shared" ref="L56:L59" si="10">SUMIF(C17:C51,K56,O17:O51)</f>
        <v>0</v>
      </c>
      <c r="M56" s="154" t="str">
        <f t="shared" ref="M56:M59" si="11">IF(L56=0,"",((($G$11-L56)*24)*-1)*60)</f>
        <v/>
      </c>
    </row>
    <row r="57" spans="2:15" s="155" customFormat="1" x14ac:dyDescent="0.25">
      <c r="C57" s="171"/>
      <c r="D57" s="173"/>
      <c r="K57" s="152">
        <v>20</v>
      </c>
      <c r="L57" s="153">
        <f t="shared" si="10"/>
        <v>0</v>
      </c>
      <c r="M57" s="154" t="str">
        <f t="shared" si="11"/>
        <v/>
      </c>
    </row>
    <row r="58" spans="2:15" s="155" customFormat="1" x14ac:dyDescent="0.25">
      <c r="C58" s="171"/>
      <c r="D58" s="173"/>
      <c r="K58" s="152">
        <v>21</v>
      </c>
      <c r="L58" s="153">
        <f t="shared" si="10"/>
        <v>0</v>
      </c>
      <c r="M58" s="154" t="str">
        <f t="shared" si="11"/>
        <v/>
      </c>
    </row>
    <row r="59" spans="2:15" s="155" customFormat="1" x14ac:dyDescent="0.25">
      <c r="C59" s="171"/>
      <c r="D59" s="173"/>
      <c r="J59" s="150" t="s">
        <v>60</v>
      </c>
      <c r="K59" s="152">
        <v>22</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MxvPiphc9JUK57gGH8tE7EsDkxC7fRaC2N/vy39FHhOflw/tqPTeNqJ5/eW/b2N+6E8GOugtsIZq9bvWahoDow==" saltValue="6xX0FtgzchU0yvObSLzgw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8" priority="1" operator="lessThan">
      <formula>0</formula>
    </cfRule>
  </conditionalFormatting>
  <pageMargins left="0.5" right="0.5" top="0.75" bottom="0" header="0.5" footer="0"/>
  <pageSetup paperSize="9" scale="5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92D050"/>
    <pageSetUpPr fitToPage="1"/>
  </sheetPr>
  <dimension ref="B1:P68"/>
  <sheetViews>
    <sheetView showGridLines="0" showZeros="0" workbookViewId="0">
      <selection activeCell="G1" sqref="G1"/>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71</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B18" s="167">
        <v>42522</v>
      </c>
      <c r="C18" s="166">
        <f>TRUNC((B18-DATE(YEAR(B18+3-MOD(B18-2,7)),1,MOD(B18-2,7)-9))/7)</f>
        <v>22</v>
      </c>
      <c r="D18" s="67">
        <v>1</v>
      </c>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42523</v>
      </c>
      <c r="C19" s="166">
        <f t="shared" ref="C19:C47" si="5">TRUNC((B19-DATE(YEAR(B19+3-MOD(B19-2,7)),1,MOD(B19-2,7)-9))/7)</f>
        <v>22</v>
      </c>
      <c r="D19" s="67">
        <v>2</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42524</v>
      </c>
      <c r="C20" s="166">
        <f t="shared" si="5"/>
        <v>22</v>
      </c>
      <c r="D20" s="67">
        <v>3</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42525</v>
      </c>
      <c r="C21" s="166">
        <f t="shared" si="5"/>
        <v>22</v>
      </c>
      <c r="D21" s="67">
        <v>4</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42526</v>
      </c>
      <c r="C22" s="166">
        <f t="shared" si="5"/>
        <v>22</v>
      </c>
      <c r="D22" s="67">
        <v>5</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42527</v>
      </c>
      <c r="C23" s="166">
        <f t="shared" si="5"/>
        <v>23</v>
      </c>
      <c r="D23" s="67">
        <v>6</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42528</v>
      </c>
      <c r="C24" s="166">
        <f t="shared" si="5"/>
        <v>23</v>
      </c>
      <c r="D24" s="67">
        <v>7</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42529</v>
      </c>
      <c r="C25" s="166">
        <f t="shared" si="5"/>
        <v>23</v>
      </c>
      <c r="D25" s="67">
        <v>8</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42530</v>
      </c>
      <c r="C26" s="166">
        <f t="shared" si="5"/>
        <v>23</v>
      </c>
      <c r="D26" s="67">
        <v>9</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42531</v>
      </c>
      <c r="C27" s="166">
        <f t="shared" si="5"/>
        <v>23</v>
      </c>
      <c r="D27" s="67">
        <v>10</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42532</v>
      </c>
      <c r="C28" s="166">
        <f t="shared" si="5"/>
        <v>23</v>
      </c>
      <c r="D28" s="67">
        <v>11</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42533</v>
      </c>
      <c r="C29" s="166">
        <f t="shared" si="5"/>
        <v>23</v>
      </c>
      <c r="D29" s="67">
        <v>12</v>
      </c>
      <c r="E29" s="84" t="s">
        <v>32</v>
      </c>
      <c r="F29" s="186"/>
      <c r="G29" s="186"/>
      <c r="H29" s="86">
        <f t="shared" si="0"/>
        <v>0</v>
      </c>
      <c r="I29" s="187"/>
      <c r="J29" s="186"/>
      <c r="K29" s="86">
        <f t="shared" si="1"/>
        <v>0</v>
      </c>
      <c r="L29" s="188"/>
      <c r="M29" s="189"/>
      <c r="N29" s="86"/>
      <c r="O29" s="188">
        <f t="shared" si="4"/>
        <v>0</v>
      </c>
    </row>
    <row r="30" spans="2:15" ht="21" customHeight="1" x14ac:dyDescent="0.25">
      <c r="B30" s="167">
        <v>42534</v>
      </c>
      <c r="C30" s="166">
        <f t="shared" si="5"/>
        <v>24</v>
      </c>
      <c r="D30" s="67">
        <v>13</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42535</v>
      </c>
      <c r="C31" s="166">
        <f t="shared" si="5"/>
        <v>24</v>
      </c>
      <c r="D31" s="67">
        <v>14</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42536</v>
      </c>
      <c r="C32" s="166">
        <f t="shared" si="5"/>
        <v>24</v>
      </c>
      <c r="D32" s="67">
        <v>15</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42537</v>
      </c>
      <c r="C33" s="166">
        <f t="shared" si="5"/>
        <v>24</v>
      </c>
      <c r="D33" s="67">
        <v>16</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42538</v>
      </c>
      <c r="C34" s="166">
        <f t="shared" si="5"/>
        <v>24</v>
      </c>
      <c r="D34" s="67">
        <v>17</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42539</v>
      </c>
      <c r="C35" s="166">
        <f t="shared" si="5"/>
        <v>24</v>
      </c>
      <c r="D35" s="67">
        <v>18</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42540</v>
      </c>
      <c r="C36" s="166">
        <f t="shared" si="5"/>
        <v>24</v>
      </c>
      <c r="D36" s="67">
        <v>19</v>
      </c>
      <c r="E36" s="84" t="s">
        <v>32</v>
      </c>
      <c r="F36" s="186"/>
      <c r="G36" s="186"/>
      <c r="H36" s="86">
        <f t="shared" si="0"/>
        <v>0</v>
      </c>
      <c r="I36" s="187"/>
      <c r="J36" s="186"/>
      <c r="K36" s="86">
        <f t="shared" si="1"/>
        <v>0</v>
      </c>
      <c r="L36" s="188"/>
      <c r="M36" s="189"/>
      <c r="N36" s="86"/>
      <c r="O36" s="188">
        <f t="shared" si="4"/>
        <v>0</v>
      </c>
    </row>
    <row r="37" spans="2:15" ht="21" customHeight="1" x14ac:dyDescent="0.25">
      <c r="B37" s="167">
        <v>42541</v>
      </c>
      <c r="C37" s="166">
        <f t="shared" si="5"/>
        <v>25</v>
      </c>
      <c r="D37" s="67">
        <v>20</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42542</v>
      </c>
      <c r="C38" s="166">
        <f t="shared" si="5"/>
        <v>25</v>
      </c>
      <c r="D38" s="67">
        <v>21</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42543</v>
      </c>
      <c r="C39" s="166">
        <f t="shared" si="5"/>
        <v>25</v>
      </c>
      <c r="D39" s="67">
        <v>22</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42544</v>
      </c>
      <c r="C40" s="166">
        <f t="shared" si="5"/>
        <v>25</v>
      </c>
      <c r="D40" s="67">
        <v>23</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42545</v>
      </c>
      <c r="C41" s="166">
        <f t="shared" si="5"/>
        <v>25</v>
      </c>
      <c r="D41" s="67">
        <v>24</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42546</v>
      </c>
      <c r="C42" s="166">
        <f t="shared" si="5"/>
        <v>25</v>
      </c>
      <c r="D42" s="67">
        <v>25</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42547</v>
      </c>
      <c r="C43" s="166">
        <f t="shared" si="5"/>
        <v>25</v>
      </c>
      <c r="D43" s="67">
        <v>26</v>
      </c>
      <c r="E43" s="84" t="s">
        <v>32</v>
      </c>
      <c r="F43" s="186"/>
      <c r="G43" s="186"/>
      <c r="H43" s="86">
        <f t="shared" si="0"/>
        <v>0</v>
      </c>
      <c r="I43" s="187"/>
      <c r="J43" s="186"/>
      <c r="K43" s="86">
        <f t="shared" si="1"/>
        <v>0</v>
      </c>
      <c r="L43" s="188"/>
      <c r="M43" s="189"/>
      <c r="N43" s="86"/>
      <c r="O43" s="188">
        <f t="shared" si="4"/>
        <v>0</v>
      </c>
    </row>
    <row r="44" spans="2:15" ht="21" customHeight="1" x14ac:dyDescent="0.25">
      <c r="B44" s="167">
        <v>42548</v>
      </c>
      <c r="C44" s="166">
        <f t="shared" si="5"/>
        <v>26</v>
      </c>
      <c r="D44" s="67">
        <v>27</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42549</v>
      </c>
      <c r="C45" s="166">
        <f t="shared" si="5"/>
        <v>26</v>
      </c>
      <c r="D45" s="67">
        <v>28</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42550</v>
      </c>
      <c r="C46" s="166">
        <f t="shared" si="5"/>
        <v>26</v>
      </c>
      <c r="D46" s="67">
        <v>29</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42551</v>
      </c>
      <c r="C47" s="166">
        <f t="shared" si="5"/>
        <v>26</v>
      </c>
      <c r="D47" s="67">
        <v>30</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22</v>
      </c>
      <c r="L55" s="153">
        <f>SUMIF(C16:C50,K55,O16:O50)</f>
        <v>0</v>
      </c>
      <c r="M55" s="154" t="str">
        <f>IF(L55=0,"",((($G$11-L55)*24)*-1)*60)</f>
        <v/>
      </c>
    </row>
    <row r="56" spans="2:15" s="155" customFormat="1" x14ac:dyDescent="0.25">
      <c r="C56" s="171"/>
      <c r="D56" s="173"/>
      <c r="K56" s="152">
        <v>23</v>
      </c>
      <c r="L56" s="153">
        <f>SUMIF(C16:C50,K56,O16:O50)</f>
        <v>0</v>
      </c>
      <c r="M56" s="154" t="str">
        <f t="shared" ref="M56:M59" si="10">IF(L56=0,"",((($G$11-L56)*24)*-1)*60)</f>
        <v/>
      </c>
    </row>
    <row r="57" spans="2:15" s="155" customFormat="1" x14ac:dyDescent="0.25">
      <c r="C57" s="171"/>
      <c r="D57" s="173"/>
      <c r="K57" s="152">
        <v>24</v>
      </c>
      <c r="L57" s="153">
        <f t="shared" ref="L57:L59" si="11">SUMIF(C18:C52,K57,O18:O52)</f>
        <v>0</v>
      </c>
      <c r="M57" s="154" t="str">
        <f t="shared" si="10"/>
        <v/>
      </c>
    </row>
    <row r="58" spans="2:15" s="155" customFormat="1" x14ac:dyDescent="0.25">
      <c r="C58" s="171"/>
      <c r="D58" s="173"/>
      <c r="K58" s="152">
        <v>25</v>
      </c>
      <c r="L58" s="153">
        <f t="shared" si="11"/>
        <v>0</v>
      </c>
      <c r="M58" s="154" t="str">
        <f t="shared" si="10"/>
        <v/>
      </c>
    </row>
    <row r="59" spans="2:15" s="155" customFormat="1" x14ac:dyDescent="0.25">
      <c r="C59" s="171"/>
      <c r="D59" s="173"/>
      <c r="J59" s="150" t="s">
        <v>60</v>
      </c>
      <c r="K59" s="152">
        <v>26</v>
      </c>
      <c r="L59" s="153">
        <f t="shared" si="11"/>
        <v>0</v>
      </c>
      <c r="M59" s="154" t="str">
        <f t="shared" si="10"/>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57gMFYB56Zck5SgFk8wk21+GhrgWdnlzLrl1qi+WJPiw7TMsXeJznd5Id8dOnzFzUh15id2/pi4j8NzgbCYsTg==" saltValue="BkrDNMUMpcJYyu//aiBtcQ=="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7" priority="1" operator="lessThan">
      <formula>0</formula>
    </cfRule>
  </conditionalFormatting>
  <pageMargins left="0.5" right="0.5" top="0.75" bottom="0" header="0.5" footer="0"/>
  <pageSetup paperSize="9" scale="5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92D050"/>
    <pageSetUpPr fitToPage="1"/>
  </sheetPr>
  <dimension ref="B1:P68"/>
  <sheetViews>
    <sheetView showGridLines="0" showZeros="0" tabSelected="1" topLeftCell="A22" workbookViewId="0">
      <selection activeCell="F32" sqref="F32"/>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5" width="13.81640625" style="24" customWidth="1"/>
    <col min="16"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70</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7">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46</v>
      </c>
      <c r="O15" s="41" t="s">
        <v>47</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C19" s="166"/>
      <c r="D19" s="67"/>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42552</v>
      </c>
      <c r="C20" s="166">
        <f>TRUNC((B20-DATE(YEAR(B20+3-MOD(B20-2,7)),1,MOD(B20-2,7)-9))/7)</f>
        <v>26</v>
      </c>
      <c r="D20" s="67">
        <v>1</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42553</v>
      </c>
      <c r="C21" s="166">
        <f t="shared" ref="C21:C50" si="5">TRUNC((B21-DATE(YEAR(B21+3-MOD(B21-2,7)),1,MOD(B21-2,7)-9))/7)</f>
        <v>26</v>
      </c>
      <c r="D21" s="67">
        <v>2</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42554</v>
      </c>
      <c r="C22" s="166">
        <f t="shared" si="5"/>
        <v>26</v>
      </c>
      <c r="D22" s="67">
        <v>3</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42555</v>
      </c>
      <c r="C23" s="166">
        <f t="shared" si="5"/>
        <v>27</v>
      </c>
      <c r="D23" s="67">
        <v>4</v>
      </c>
      <c r="E23" s="43" t="s">
        <v>26</v>
      </c>
      <c r="F23" s="44">
        <v>0.58333333333333337</v>
      </c>
      <c r="G23" s="44">
        <v>0.66666666666666663</v>
      </c>
      <c r="H23" s="75">
        <f t="shared" si="0"/>
        <v>8.3333333333333259E-2</v>
      </c>
      <c r="I23" s="45"/>
      <c r="J23" s="44"/>
      <c r="K23" s="75">
        <f t="shared" si="1"/>
        <v>0</v>
      </c>
      <c r="L23" s="59">
        <f t="shared" ref="L23:L27" si="6">(IF((H23+K23)&gt;0.375,0.0416666666666667,IF((H23+K23)&gt;0.25,0.0208333333333333,0)))</f>
        <v>0</v>
      </c>
      <c r="M23" s="46"/>
      <c r="N23" s="75" t="str">
        <f>IF(M23="","",M23*($G$11/$G$10))</f>
        <v/>
      </c>
      <c r="O23" s="59">
        <f t="shared" si="4"/>
        <v>8.3333333333333259E-2</v>
      </c>
    </row>
    <row r="24" spans="2:15" ht="21" customHeight="1" x14ac:dyDescent="0.25">
      <c r="B24" s="167">
        <v>42556</v>
      </c>
      <c r="C24" s="166">
        <f t="shared" si="5"/>
        <v>27</v>
      </c>
      <c r="D24" s="67">
        <v>5</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42557</v>
      </c>
      <c r="C25" s="166">
        <f t="shared" si="5"/>
        <v>27</v>
      </c>
      <c r="D25" s="67">
        <v>6</v>
      </c>
      <c r="E25" s="43" t="s">
        <v>28</v>
      </c>
      <c r="F25" s="44">
        <v>0.91666666666666663</v>
      </c>
      <c r="G25" s="44">
        <v>1</v>
      </c>
      <c r="H25" s="107">
        <f t="shared" si="0"/>
        <v>8.333333333333337E-2</v>
      </c>
      <c r="I25" s="45"/>
      <c r="J25" s="44"/>
      <c r="K25" s="58">
        <f t="shared" si="1"/>
        <v>0</v>
      </c>
      <c r="L25" s="59">
        <f t="shared" si="6"/>
        <v>0</v>
      </c>
      <c r="M25" s="46"/>
      <c r="N25" s="58"/>
      <c r="O25" s="59">
        <f t="shared" si="4"/>
        <v>8.333333333333337E-2</v>
      </c>
    </row>
    <row r="26" spans="2:15" ht="21" customHeight="1" x14ac:dyDescent="0.25">
      <c r="B26" s="167">
        <v>42558</v>
      </c>
      <c r="C26" s="166">
        <f t="shared" si="5"/>
        <v>27</v>
      </c>
      <c r="D26" s="67">
        <v>7</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42559</v>
      </c>
      <c r="C27" s="166">
        <f t="shared" si="5"/>
        <v>27</v>
      </c>
      <c r="D27" s="67">
        <v>8</v>
      </c>
      <c r="E27" s="70" t="s">
        <v>30</v>
      </c>
      <c r="F27" s="71">
        <v>0.41666666666666669</v>
      </c>
      <c r="G27" s="71">
        <v>0.5</v>
      </c>
      <c r="H27" s="72">
        <f t="shared" si="0"/>
        <v>8.3333333333333315E-2</v>
      </c>
      <c r="I27" s="64">
        <v>0.54166666666666663</v>
      </c>
      <c r="J27" s="71">
        <v>0.625</v>
      </c>
      <c r="K27" s="72">
        <f t="shared" si="1"/>
        <v>8.333333333333337E-2</v>
      </c>
      <c r="L27" s="74">
        <f t="shared" si="6"/>
        <v>0</v>
      </c>
      <c r="M27" s="73"/>
      <c r="N27" s="72"/>
      <c r="O27" s="74">
        <f t="shared" si="4"/>
        <v>0.16666666666666669</v>
      </c>
    </row>
    <row r="28" spans="2:15" ht="21" customHeight="1" x14ac:dyDescent="0.25">
      <c r="B28" s="167">
        <v>42560</v>
      </c>
      <c r="C28" s="166">
        <f t="shared" si="5"/>
        <v>27</v>
      </c>
      <c r="D28" s="67">
        <v>9</v>
      </c>
      <c r="E28" s="77" t="s">
        <v>31</v>
      </c>
      <c r="F28" s="182">
        <v>0.70833333333333337</v>
      </c>
      <c r="G28" s="182">
        <v>0.79166666666666663</v>
      </c>
      <c r="H28" s="79">
        <f t="shared" si="0"/>
        <v>8.3333333333333259E-2</v>
      </c>
      <c r="I28" s="183"/>
      <c r="J28" s="182"/>
      <c r="K28" s="79">
        <f t="shared" si="1"/>
        <v>0</v>
      </c>
      <c r="L28" s="184"/>
      <c r="M28" s="185"/>
      <c r="N28" s="79"/>
      <c r="O28" s="184">
        <f t="shared" si="4"/>
        <v>8.3333333333333259E-2</v>
      </c>
    </row>
    <row r="29" spans="2:15" ht="21" customHeight="1" thickBot="1" x14ac:dyDescent="0.3">
      <c r="B29" s="167">
        <v>42561</v>
      </c>
      <c r="C29" s="166">
        <f t="shared" si="5"/>
        <v>27</v>
      </c>
      <c r="D29" s="67">
        <v>10</v>
      </c>
      <c r="E29" s="84" t="s">
        <v>32</v>
      </c>
      <c r="F29" s="186"/>
      <c r="G29" s="186"/>
      <c r="H29" s="86">
        <f t="shared" si="0"/>
        <v>0</v>
      </c>
      <c r="I29" s="187"/>
      <c r="J29" s="186"/>
      <c r="K29" s="86">
        <f t="shared" si="1"/>
        <v>0</v>
      </c>
      <c r="L29" s="188"/>
      <c r="M29" s="189"/>
      <c r="N29" s="86"/>
      <c r="O29" s="188">
        <f t="shared" si="4"/>
        <v>0</v>
      </c>
    </row>
    <row r="30" spans="2:15" ht="21" customHeight="1" x14ac:dyDescent="0.25">
      <c r="B30" s="167">
        <v>42562</v>
      </c>
      <c r="C30" s="166">
        <f t="shared" si="5"/>
        <v>28</v>
      </c>
      <c r="D30" s="67">
        <v>11</v>
      </c>
      <c r="E30" s="43" t="s">
        <v>26</v>
      </c>
      <c r="F30" s="44">
        <v>0.41666666666666669</v>
      </c>
      <c r="G30" s="44">
        <v>0.5</v>
      </c>
      <c r="H30" s="75">
        <f t="shared" si="0"/>
        <v>8.3333333333333315E-2</v>
      </c>
      <c r="I30" s="45">
        <v>0.58333333333333337</v>
      </c>
      <c r="J30" s="44">
        <v>0.66666666666666663</v>
      </c>
      <c r="K30" s="75">
        <f t="shared" si="1"/>
        <v>8.3333333333333259E-2</v>
      </c>
      <c r="L30" s="59">
        <f t="shared" ref="L30:L34" si="7">(IF((H30+K30)&gt;0.375,0.0416666666666667,IF((H30+K30)&gt;0.25,0.0208333333333333,0)))</f>
        <v>0</v>
      </c>
      <c r="M30" s="46"/>
      <c r="N30" s="75"/>
      <c r="O30" s="59">
        <f t="shared" si="4"/>
        <v>0.16666666666666657</v>
      </c>
    </row>
    <row r="31" spans="2:15" ht="21" customHeight="1" x14ac:dyDescent="0.25">
      <c r="B31" s="167">
        <v>42563</v>
      </c>
      <c r="C31" s="166">
        <f t="shared" si="5"/>
        <v>28</v>
      </c>
      <c r="D31" s="67">
        <v>12</v>
      </c>
      <c r="E31" s="43" t="s">
        <v>27</v>
      </c>
      <c r="F31" s="44" t="s">
        <v>84</v>
      </c>
      <c r="G31" s="44"/>
      <c r="H31" s="58" t="e">
        <f t="shared" si="0"/>
        <v>#VALUE!</v>
      </c>
      <c r="I31" s="45"/>
      <c r="J31" s="44"/>
      <c r="K31" s="58">
        <f t="shared" si="1"/>
        <v>0</v>
      </c>
      <c r="L31" s="59" t="e">
        <f t="shared" si="7"/>
        <v>#VALUE!</v>
      </c>
      <c r="M31" s="46"/>
      <c r="N31" s="58"/>
      <c r="O31" s="59" t="e">
        <f t="shared" si="4"/>
        <v>#VALUE!</v>
      </c>
    </row>
    <row r="32" spans="2:15" ht="21" customHeight="1" x14ac:dyDescent="0.25">
      <c r="B32" s="167">
        <v>42564</v>
      </c>
      <c r="C32" s="166">
        <f t="shared" si="5"/>
        <v>28</v>
      </c>
      <c r="D32" s="67">
        <v>13</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42565</v>
      </c>
      <c r="C33" s="166">
        <f t="shared" si="5"/>
        <v>28</v>
      </c>
      <c r="D33" s="67">
        <v>14</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42566</v>
      </c>
      <c r="C34" s="166">
        <f t="shared" si="5"/>
        <v>28</v>
      </c>
      <c r="D34" s="67">
        <v>15</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42567</v>
      </c>
      <c r="C35" s="166">
        <f t="shared" si="5"/>
        <v>28</v>
      </c>
      <c r="D35" s="67">
        <v>16</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42568</v>
      </c>
      <c r="C36" s="166">
        <f t="shared" si="5"/>
        <v>28</v>
      </c>
      <c r="D36" s="67">
        <v>17</v>
      </c>
      <c r="E36" s="84" t="s">
        <v>32</v>
      </c>
      <c r="F36" s="186"/>
      <c r="G36" s="186"/>
      <c r="H36" s="86">
        <f t="shared" si="0"/>
        <v>0</v>
      </c>
      <c r="I36" s="187"/>
      <c r="J36" s="186"/>
      <c r="K36" s="86">
        <f t="shared" si="1"/>
        <v>0</v>
      </c>
      <c r="L36" s="188"/>
      <c r="M36" s="189"/>
      <c r="N36" s="86"/>
      <c r="O36" s="188">
        <f t="shared" si="4"/>
        <v>0</v>
      </c>
    </row>
    <row r="37" spans="2:15" ht="21" customHeight="1" x14ac:dyDescent="0.25">
      <c r="B37" s="167">
        <v>42569</v>
      </c>
      <c r="C37" s="166">
        <f t="shared" si="5"/>
        <v>29</v>
      </c>
      <c r="D37" s="67">
        <v>18</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42570</v>
      </c>
      <c r="C38" s="166">
        <f t="shared" si="5"/>
        <v>29</v>
      </c>
      <c r="D38" s="67">
        <v>19</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42571</v>
      </c>
      <c r="C39" s="166">
        <f t="shared" si="5"/>
        <v>29</v>
      </c>
      <c r="D39" s="67">
        <v>20</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42572</v>
      </c>
      <c r="C40" s="166">
        <f t="shared" si="5"/>
        <v>29</v>
      </c>
      <c r="D40" s="67">
        <v>21</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42573</v>
      </c>
      <c r="C41" s="166">
        <f t="shared" si="5"/>
        <v>29</v>
      </c>
      <c r="D41" s="67">
        <v>22</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42574</v>
      </c>
      <c r="C42" s="166">
        <f t="shared" si="5"/>
        <v>29</v>
      </c>
      <c r="D42" s="67">
        <v>23</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42575</v>
      </c>
      <c r="C43" s="166">
        <f t="shared" si="5"/>
        <v>29</v>
      </c>
      <c r="D43" s="67">
        <v>24</v>
      </c>
      <c r="E43" s="84" t="s">
        <v>32</v>
      </c>
      <c r="F43" s="186"/>
      <c r="G43" s="186"/>
      <c r="H43" s="86">
        <f t="shared" si="0"/>
        <v>0</v>
      </c>
      <c r="I43" s="187"/>
      <c r="J43" s="186"/>
      <c r="K43" s="86">
        <f t="shared" si="1"/>
        <v>0</v>
      </c>
      <c r="L43" s="188"/>
      <c r="M43" s="189"/>
      <c r="N43" s="86"/>
      <c r="O43" s="188">
        <f t="shared" si="4"/>
        <v>0</v>
      </c>
    </row>
    <row r="44" spans="2:15" ht="21" customHeight="1" x14ac:dyDescent="0.25">
      <c r="B44" s="167">
        <v>42576</v>
      </c>
      <c r="C44" s="166">
        <f t="shared" si="5"/>
        <v>30</v>
      </c>
      <c r="D44" s="67">
        <v>25</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42577</v>
      </c>
      <c r="C45" s="166">
        <f t="shared" si="5"/>
        <v>30</v>
      </c>
      <c r="D45" s="67">
        <v>26</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42578</v>
      </c>
      <c r="C46" s="166">
        <f t="shared" si="5"/>
        <v>30</v>
      </c>
      <c r="D46" s="67">
        <v>27</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42579</v>
      </c>
      <c r="C47" s="166">
        <f t="shared" si="5"/>
        <v>30</v>
      </c>
      <c r="D47" s="67">
        <v>28</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42580</v>
      </c>
      <c r="C48" s="166">
        <f t="shared" si="5"/>
        <v>30</v>
      </c>
      <c r="D48" s="67">
        <v>29</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v>42581</v>
      </c>
      <c r="C49" s="166">
        <f t="shared" si="5"/>
        <v>30</v>
      </c>
      <c r="D49" s="67">
        <v>30</v>
      </c>
      <c r="E49" s="77" t="s">
        <v>31</v>
      </c>
      <c r="F49" s="182"/>
      <c r="G49" s="182"/>
      <c r="H49" s="79">
        <f t="shared" si="0"/>
        <v>0</v>
      </c>
      <c r="I49" s="183"/>
      <c r="J49" s="182"/>
      <c r="K49" s="79">
        <f t="shared" si="1"/>
        <v>0</v>
      </c>
      <c r="L49" s="184"/>
      <c r="M49" s="185"/>
      <c r="N49" s="79"/>
      <c r="O49" s="184">
        <f t="shared" si="4"/>
        <v>0</v>
      </c>
    </row>
    <row r="50" spans="2:15" ht="21" customHeight="1" thickBot="1" x14ac:dyDescent="0.3">
      <c r="B50" s="167">
        <v>42582</v>
      </c>
      <c r="C50" s="166">
        <f t="shared" si="5"/>
        <v>30</v>
      </c>
      <c r="D50" s="67">
        <v>31</v>
      </c>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t="e">
        <f>SUM(O16:O50)</f>
        <v>#VALUE!</v>
      </c>
    </row>
    <row r="52" spans="2:15" ht="21" customHeight="1" x14ac:dyDescent="0.25">
      <c r="N52" s="43" t="s">
        <v>7</v>
      </c>
      <c r="O52" s="59" t="e">
        <f>O51+N51</f>
        <v>#VALUE!</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26</v>
      </c>
      <c r="L55" s="153">
        <f>SUMIF(C16:C50,K55,O16:O50)</f>
        <v>0</v>
      </c>
      <c r="M55" s="154" t="str">
        <f>IF(L55=0,"",((($G$11-L55)*24)*-1)*60)</f>
        <v/>
      </c>
    </row>
    <row r="56" spans="2:15" s="155" customFormat="1" x14ac:dyDescent="0.25">
      <c r="C56" s="171"/>
      <c r="D56" s="173"/>
      <c r="K56" s="152">
        <v>27</v>
      </c>
      <c r="L56" s="153">
        <f t="shared" ref="L56:L59" si="10">SUMIF(C17:C51,K56,O17:O51)</f>
        <v>0.41666666666666657</v>
      </c>
      <c r="M56" s="154">
        <f t="shared" ref="M56:M59" si="11">IF(L56=0,"",((($G$11-L56)*24)*-1)*60)</f>
        <v>-1.5987211554602254E-13</v>
      </c>
    </row>
    <row r="57" spans="2:15" s="155" customFormat="1" x14ac:dyDescent="0.25">
      <c r="C57" s="171"/>
      <c r="D57" s="173"/>
      <c r="K57" s="152">
        <v>28</v>
      </c>
      <c r="L57" s="153" t="e">
        <f t="shared" si="10"/>
        <v>#VALUE!</v>
      </c>
      <c r="M57" s="154" t="e">
        <f t="shared" si="11"/>
        <v>#VALUE!</v>
      </c>
    </row>
    <row r="58" spans="2:15" s="155" customFormat="1" x14ac:dyDescent="0.25">
      <c r="C58" s="171"/>
      <c r="D58" s="173"/>
      <c r="K58" s="152">
        <v>29</v>
      </c>
      <c r="L58" s="153">
        <f t="shared" si="10"/>
        <v>0</v>
      </c>
      <c r="M58" s="154" t="str">
        <f t="shared" si="11"/>
        <v/>
      </c>
    </row>
    <row r="59" spans="2:15" s="155" customFormat="1" x14ac:dyDescent="0.25">
      <c r="C59" s="171"/>
      <c r="D59" s="173"/>
      <c r="J59" s="150" t="s">
        <v>60</v>
      </c>
      <c r="K59" s="152">
        <v>30</v>
      </c>
      <c r="L59" s="153">
        <f t="shared" si="10"/>
        <v>0</v>
      </c>
      <c r="M59" s="154" t="str">
        <f t="shared" si="11"/>
        <v/>
      </c>
    </row>
    <row r="60" spans="2:15" s="155" customFormat="1" x14ac:dyDescent="0.25">
      <c r="C60" s="171"/>
      <c r="D60" s="173"/>
      <c r="K60" s="218" t="s">
        <v>64</v>
      </c>
      <c r="L60" s="219"/>
      <c r="M60" s="156" t="e">
        <f>SUM(M55:M59)</f>
        <v>#VALUE!</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uwIEkWow8QsiRBzFTqkR5pkB6r6AnChO3V8taanRPzlCVLDMXyaCvqPpuIqozhRj/xaND1G/qqXENHSKrUGGFQ==" saltValue="unvJ/19wxpj06N3H2wu07A=="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6" priority="1" operator="lessThan">
      <formula>0</formula>
    </cfRule>
  </conditionalFormatting>
  <pageMargins left="0.5" right="0.5" top="0.75" bottom="0" header="0.5" footer="0"/>
  <pageSetup paperSize="9" scale="5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92D050"/>
    <pageSetUpPr fitToPage="1"/>
  </sheetPr>
  <dimension ref="B1:P68"/>
  <sheetViews>
    <sheetView showGridLines="0" showZeros="0" topLeftCell="A28"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11</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42583</v>
      </c>
      <c r="C16" s="166">
        <f>TRUNC((B16-DATE(YEAR(B16+3-MOD(B16-2,7)),1,MOD(B16-2,7)-9))/7)</f>
        <v>31</v>
      </c>
      <c r="D16" s="67">
        <v>1</v>
      </c>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42584</v>
      </c>
      <c r="C17" s="166">
        <f t="shared" ref="C17:C46" si="2">TRUNC((B17-DATE(YEAR(B17+3-MOD(B17-2,7)),1,MOD(B17-2,7)-9))/7)</f>
        <v>31</v>
      </c>
      <c r="D17" s="67">
        <v>2</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42585</v>
      </c>
      <c r="C18" s="166">
        <f t="shared" si="2"/>
        <v>31</v>
      </c>
      <c r="D18" s="67">
        <v>3</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42586</v>
      </c>
      <c r="C19" s="166">
        <f t="shared" si="2"/>
        <v>31</v>
      </c>
      <c r="D19" s="67">
        <v>4</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42587</v>
      </c>
      <c r="C20" s="166">
        <f t="shared" si="2"/>
        <v>31</v>
      </c>
      <c r="D20" s="67">
        <v>5</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42588</v>
      </c>
      <c r="C21" s="166">
        <f t="shared" si="2"/>
        <v>31</v>
      </c>
      <c r="D21" s="67">
        <v>6</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42589</v>
      </c>
      <c r="C22" s="166">
        <f t="shared" si="2"/>
        <v>31</v>
      </c>
      <c r="D22" s="67">
        <v>7</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42590</v>
      </c>
      <c r="C23" s="166">
        <f t="shared" si="2"/>
        <v>32</v>
      </c>
      <c r="D23" s="67">
        <v>8</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42591</v>
      </c>
      <c r="C24" s="166">
        <f t="shared" si="2"/>
        <v>32</v>
      </c>
      <c r="D24" s="67">
        <v>9</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42592</v>
      </c>
      <c r="C25" s="166">
        <f t="shared" si="2"/>
        <v>32</v>
      </c>
      <c r="D25" s="67">
        <v>10</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42593</v>
      </c>
      <c r="C26" s="166">
        <f t="shared" si="2"/>
        <v>32</v>
      </c>
      <c r="D26" s="67">
        <v>11</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42594</v>
      </c>
      <c r="C27" s="166">
        <f t="shared" si="2"/>
        <v>32</v>
      </c>
      <c r="D27" s="67">
        <v>12</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42595</v>
      </c>
      <c r="C28" s="166">
        <f t="shared" si="2"/>
        <v>32</v>
      </c>
      <c r="D28" s="67">
        <v>13</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42596</v>
      </c>
      <c r="C29" s="166">
        <f t="shared" si="2"/>
        <v>32</v>
      </c>
      <c r="D29" s="67">
        <v>14</v>
      </c>
      <c r="E29" s="84" t="s">
        <v>32</v>
      </c>
      <c r="F29" s="186"/>
      <c r="G29" s="186"/>
      <c r="H29" s="86">
        <f t="shared" si="0"/>
        <v>0</v>
      </c>
      <c r="I29" s="187"/>
      <c r="J29" s="186"/>
      <c r="K29" s="86">
        <f t="shared" si="1"/>
        <v>0</v>
      </c>
      <c r="L29" s="188"/>
      <c r="M29" s="189"/>
      <c r="N29" s="86"/>
      <c r="O29" s="188">
        <f t="shared" si="5"/>
        <v>0</v>
      </c>
    </row>
    <row r="30" spans="2:15" ht="21" customHeight="1" x14ac:dyDescent="0.25">
      <c r="B30" s="167">
        <v>42597</v>
      </c>
      <c r="C30" s="166">
        <f t="shared" si="2"/>
        <v>33</v>
      </c>
      <c r="D30" s="67">
        <v>15</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42598</v>
      </c>
      <c r="C31" s="166">
        <f t="shared" si="2"/>
        <v>33</v>
      </c>
      <c r="D31" s="67">
        <v>16</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42599</v>
      </c>
      <c r="C32" s="166">
        <f t="shared" si="2"/>
        <v>33</v>
      </c>
      <c r="D32" s="67">
        <v>17</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42600</v>
      </c>
      <c r="C33" s="166">
        <f t="shared" si="2"/>
        <v>33</v>
      </c>
      <c r="D33" s="67">
        <v>18</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42601</v>
      </c>
      <c r="C34" s="166">
        <f t="shared" si="2"/>
        <v>33</v>
      </c>
      <c r="D34" s="67">
        <v>19</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42602</v>
      </c>
      <c r="C35" s="166">
        <f t="shared" si="2"/>
        <v>33</v>
      </c>
      <c r="D35" s="67">
        <v>20</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42603</v>
      </c>
      <c r="C36" s="166">
        <f t="shared" si="2"/>
        <v>33</v>
      </c>
      <c r="D36" s="67">
        <v>21</v>
      </c>
      <c r="E36" s="84" t="s">
        <v>32</v>
      </c>
      <c r="F36" s="186"/>
      <c r="G36" s="186"/>
      <c r="H36" s="86">
        <f t="shared" si="0"/>
        <v>0</v>
      </c>
      <c r="I36" s="187"/>
      <c r="J36" s="186"/>
      <c r="K36" s="86">
        <f t="shared" si="1"/>
        <v>0</v>
      </c>
      <c r="L36" s="188"/>
      <c r="M36" s="189"/>
      <c r="N36" s="86"/>
      <c r="O36" s="188">
        <f t="shared" si="5"/>
        <v>0</v>
      </c>
    </row>
    <row r="37" spans="2:15" ht="21" customHeight="1" x14ac:dyDescent="0.25">
      <c r="B37" s="167">
        <v>42604</v>
      </c>
      <c r="C37" s="166">
        <f t="shared" si="2"/>
        <v>34</v>
      </c>
      <c r="D37" s="67">
        <v>22</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42605</v>
      </c>
      <c r="C38" s="166">
        <f t="shared" si="2"/>
        <v>34</v>
      </c>
      <c r="D38" s="67">
        <v>23</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42606</v>
      </c>
      <c r="C39" s="166">
        <f t="shared" si="2"/>
        <v>34</v>
      </c>
      <c r="D39" s="67">
        <v>24</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42607</v>
      </c>
      <c r="C40" s="166">
        <f t="shared" si="2"/>
        <v>34</v>
      </c>
      <c r="D40" s="67">
        <v>25</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42608</v>
      </c>
      <c r="C41" s="166">
        <f t="shared" si="2"/>
        <v>34</v>
      </c>
      <c r="D41" s="67">
        <v>26</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42609</v>
      </c>
      <c r="C42" s="166">
        <f t="shared" si="2"/>
        <v>34</v>
      </c>
      <c r="D42" s="67">
        <v>27</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42610</v>
      </c>
      <c r="C43" s="166">
        <f t="shared" si="2"/>
        <v>34</v>
      </c>
      <c r="D43" s="67">
        <v>28</v>
      </c>
      <c r="E43" s="84" t="s">
        <v>32</v>
      </c>
      <c r="F43" s="186"/>
      <c r="G43" s="186"/>
      <c r="H43" s="86">
        <f t="shared" si="0"/>
        <v>0</v>
      </c>
      <c r="I43" s="187"/>
      <c r="J43" s="186"/>
      <c r="K43" s="86">
        <f t="shared" si="1"/>
        <v>0</v>
      </c>
      <c r="L43" s="188"/>
      <c r="M43" s="189"/>
      <c r="N43" s="86"/>
      <c r="O43" s="188">
        <f t="shared" si="5"/>
        <v>0</v>
      </c>
    </row>
    <row r="44" spans="2:15" ht="21" customHeight="1" x14ac:dyDescent="0.25">
      <c r="B44" s="167">
        <v>42611</v>
      </c>
      <c r="C44" s="166">
        <f t="shared" si="2"/>
        <v>35</v>
      </c>
      <c r="D44" s="67">
        <v>29</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5"/>
        <v>0</v>
      </c>
    </row>
    <row r="45" spans="2:15" ht="21" customHeight="1" x14ac:dyDescent="0.25">
      <c r="B45" s="167">
        <v>42612</v>
      </c>
      <c r="C45" s="166">
        <f t="shared" si="2"/>
        <v>35</v>
      </c>
      <c r="D45" s="67">
        <v>30</v>
      </c>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v>42613</v>
      </c>
      <c r="C46" s="166">
        <f t="shared" si="2"/>
        <v>35</v>
      </c>
      <c r="D46" s="67">
        <v>31</v>
      </c>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31</v>
      </c>
      <c r="L55" s="153">
        <f>SUMIF(C16:C50,K55,O16:O50)</f>
        <v>0</v>
      </c>
      <c r="M55" s="154" t="str">
        <f>IF(L55=0,"",((($G$11-L55)*24)*-1)*60)</f>
        <v/>
      </c>
    </row>
    <row r="56" spans="2:15" s="155" customFormat="1" x14ac:dyDescent="0.25">
      <c r="C56" s="171"/>
      <c r="D56" s="173"/>
      <c r="K56" s="152">
        <v>32</v>
      </c>
      <c r="L56" s="153">
        <f t="shared" ref="L56:L59" si="10">SUMIF(C17:C51,K56,O17:O51)</f>
        <v>0</v>
      </c>
      <c r="M56" s="154" t="str">
        <f t="shared" ref="M56:M59" si="11">IF(L56=0,"",((($G$11-L56)*24)*-1)*60)</f>
        <v/>
      </c>
    </row>
    <row r="57" spans="2:15" s="155" customFormat="1" x14ac:dyDescent="0.25">
      <c r="C57" s="171"/>
      <c r="D57" s="173"/>
      <c r="K57" s="152">
        <v>33</v>
      </c>
      <c r="L57" s="153">
        <f t="shared" si="10"/>
        <v>0</v>
      </c>
      <c r="M57" s="154" t="str">
        <f t="shared" si="11"/>
        <v/>
      </c>
    </row>
    <row r="58" spans="2:15" s="155" customFormat="1" x14ac:dyDescent="0.25">
      <c r="C58" s="171"/>
      <c r="D58" s="173"/>
      <c r="K58" s="152">
        <v>34</v>
      </c>
      <c r="L58" s="153">
        <f t="shared" si="10"/>
        <v>0</v>
      </c>
      <c r="M58" s="154" t="str">
        <f t="shared" si="11"/>
        <v/>
      </c>
    </row>
    <row r="59" spans="2:15" s="155" customFormat="1" x14ac:dyDescent="0.25">
      <c r="C59" s="171"/>
      <c r="D59" s="173"/>
      <c r="J59" s="150" t="s">
        <v>60</v>
      </c>
      <c r="K59" s="152">
        <v>35</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KMnTNlxRKr3OEMmG/npthHaY/9+h7GuXflh+QgeBAD2+hmmf5B6prve7w9EeSnRKWgXRfGQla3unJ3MpqpGbMw==" saltValue="eYKsdJpjIZKf9HO0c3kAL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5" priority="1" operator="lessThan">
      <formula>0</formula>
    </cfRule>
  </conditionalFormatting>
  <pageMargins left="0.5" right="0.5" top="0.75" bottom="0" header="0.5" footer="0"/>
  <pageSetup paperSize="9" scale="5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rgb="FF92D050"/>
    <pageSetUpPr fitToPage="1"/>
  </sheetPr>
  <dimension ref="B1:P68"/>
  <sheetViews>
    <sheetView showGridLines="0" showZeros="0" topLeftCell="A28"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12</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42614</v>
      </c>
      <c r="C19" s="166">
        <f>TRUNC((B19-DATE(YEAR(B19+3-MOD(B19-2,7)),1,MOD(B19-2,7)-9))/7)</f>
        <v>35</v>
      </c>
      <c r="D19" s="67">
        <v>1</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42615</v>
      </c>
      <c r="C20" s="166">
        <f t="shared" ref="C20:C48" si="5">TRUNC((B20-DATE(YEAR(B20+3-MOD(B20-2,7)),1,MOD(B20-2,7)-9))/7)</f>
        <v>35</v>
      </c>
      <c r="D20" s="67">
        <v>2</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42616</v>
      </c>
      <c r="C21" s="166">
        <f t="shared" si="5"/>
        <v>35</v>
      </c>
      <c r="D21" s="67">
        <v>3</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42617</v>
      </c>
      <c r="C22" s="166">
        <f t="shared" si="5"/>
        <v>35</v>
      </c>
      <c r="D22" s="67">
        <v>4</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42618</v>
      </c>
      <c r="C23" s="166">
        <f t="shared" si="5"/>
        <v>36</v>
      </c>
      <c r="D23" s="67">
        <v>5</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42619</v>
      </c>
      <c r="C24" s="166">
        <f t="shared" si="5"/>
        <v>36</v>
      </c>
      <c r="D24" s="67">
        <v>6</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42620</v>
      </c>
      <c r="C25" s="166">
        <f t="shared" si="5"/>
        <v>36</v>
      </c>
      <c r="D25" s="67">
        <v>7</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42621</v>
      </c>
      <c r="C26" s="166">
        <f t="shared" si="5"/>
        <v>36</v>
      </c>
      <c r="D26" s="67">
        <v>8</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42622</v>
      </c>
      <c r="C27" s="166">
        <f t="shared" si="5"/>
        <v>36</v>
      </c>
      <c r="D27" s="67">
        <v>9</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42623</v>
      </c>
      <c r="C28" s="166">
        <f t="shared" si="5"/>
        <v>36</v>
      </c>
      <c r="D28" s="67">
        <v>10</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42624</v>
      </c>
      <c r="C29" s="166">
        <f t="shared" si="5"/>
        <v>36</v>
      </c>
      <c r="D29" s="67">
        <v>11</v>
      </c>
      <c r="E29" s="84" t="s">
        <v>32</v>
      </c>
      <c r="F29" s="186"/>
      <c r="G29" s="186"/>
      <c r="H29" s="86">
        <f t="shared" si="0"/>
        <v>0</v>
      </c>
      <c r="I29" s="187"/>
      <c r="J29" s="186"/>
      <c r="K29" s="86">
        <f t="shared" si="1"/>
        <v>0</v>
      </c>
      <c r="L29" s="188"/>
      <c r="M29" s="189"/>
      <c r="N29" s="86"/>
      <c r="O29" s="188">
        <f t="shared" si="4"/>
        <v>0</v>
      </c>
    </row>
    <row r="30" spans="2:15" ht="21" customHeight="1" x14ac:dyDescent="0.25">
      <c r="B30" s="167">
        <v>42625</v>
      </c>
      <c r="C30" s="166">
        <f t="shared" si="5"/>
        <v>37</v>
      </c>
      <c r="D30" s="67">
        <v>12</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42626</v>
      </c>
      <c r="C31" s="166">
        <f t="shared" si="5"/>
        <v>37</v>
      </c>
      <c r="D31" s="67">
        <v>13</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42627</v>
      </c>
      <c r="C32" s="166">
        <f t="shared" si="5"/>
        <v>37</v>
      </c>
      <c r="D32" s="67">
        <v>14</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42628</v>
      </c>
      <c r="C33" s="166">
        <f t="shared" si="5"/>
        <v>37</v>
      </c>
      <c r="D33" s="67">
        <v>15</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42629</v>
      </c>
      <c r="C34" s="166">
        <f t="shared" si="5"/>
        <v>37</v>
      </c>
      <c r="D34" s="67">
        <v>16</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42630</v>
      </c>
      <c r="C35" s="166">
        <f t="shared" si="5"/>
        <v>37</v>
      </c>
      <c r="D35" s="67">
        <v>17</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42631</v>
      </c>
      <c r="C36" s="166">
        <f t="shared" si="5"/>
        <v>37</v>
      </c>
      <c r="D36" s="67">
        <v>18</v>
      </c>
      <c r="E36" s="84" t="s">
        <v>32</v>
      </c>
      <c r="F36" s="186"/>
      <c r="G36" s="186"/>
      <c r="H36" s="86">
        <f t="shared" si="0"/>
        <v>0</v>
      </c>
      <c r="I36" s="187"/>
      <c r="J36" s="186"/>
      <c r="K36" s="86">
        <f t="shared" si="1"/>
        <v>0</v>
      </c>
      <c r="L36" s="188"/>
      <c r="M36" s="189"/>
      <c r="N36" s="86"/>
      <c r="O36" s="188">
        <f t="shared" si="4"/>
        <v>0</v>
      </c>
    </row>
    <row r="37" spans="2:15" ht="21" customHeight="1" x14ac:dyDescent="0.25">
      <c r="B37" s="167">
        <v>42632</v>
      </c>
      <c r="C37" s="166">
        <f t="shared" si="5"/>
        <v>38</v>
      </c>
      <c r="D37" s="67">
        <v>19</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42633</v>
      </c>
      <c r="C38" s="166">
        <f t="shared" si="5"/>
        <v>38</v>
      </c>
      <c r="D38" s="67">
        <v>20</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42634</v>
      </c>
      <c r="C39" s="166">
        <f t="shared" si="5"/>
        <v>38</v>
      </c>
      <c r="D39" s="67">
        <v>21</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42635</v>
      </c>
      <c r="C40" s="166">
        <f t="shared" si="5"/>
        <v>38</v>
      </c>
      <c r="D40" s="67">
        <v>22</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42636</v>
      </c>
      <c r="C41" s="166">
        <f t="shared" si="5"/>
        <v>38</v>
      </c>
      <c r="D41" s="67">
        <v>23</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42637</v>
      </c>
      <c r="C42" s="166">
        <f t="shared" si="5"/>
        <v>38</v>
      </c>
      <c r="D42" s="67">
        <v>24</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42638</v>
      </c>
      <c r="C43" s="166">
        <f t="shared" si="5"/>
        <v>38</v>
      </c>
      <c r="D43" s="67">
        <v>25</v>
      </c>
      <c r="E43" s="84" t="s">
        <v>32</v>
      </c>
      <c r="F43" s="186"/>
      <c r="G43" s="186"/>
      <c r="H43" s="86">
        <f t="shared" si="0"/>
        <v>0</v>
      </c>
      <c r="I43" s="187"/>
      <c r="J43" s="186"/>
      <c r="K43" s="86">
        <f t="shared" si="1"/>
        <v>0</v>
      </c>
      <c r="L43" s="188"/>
      <c r="M43" s="189"/>
      <c r="N43" s="86"/>
      <c r="O43" s="188">
        <f t="shared" si="4"/>
        <v>0</v>
      </c>
    </row>
    <row r="44" spans="2:15" ht="21" customHeight="1" x14ac:dyDescent="0.25">
      <c r="B44" s="167">
        <v>42639</v>
      </c>
      <c r="C44" s="166">
        <f t="shared" si="5"/>
        <v>39</v>
      </c>
      <c r="D44" s="67">
        <v>26</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42640</v>
      </c>
      <c r="C45" s="166">
        <f t="shared" si="5"/>
        <v>39</v>
      </c>
      <c r="D45" s="67">
        <v>27</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42641</v>
      </c>
      <c r="C46" s="166">
        <f t="shared" si="5"/>
        <v>39</v>
      </c>
      <c r="D46" s="67">
        <v>28</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v>42642</v>
      </c>
      <c r="C47" s="166">
        <f t="shared" si="5"/>
        <v>39</v>
      </c>
      <c r="D47" s="67">
        <v>29</v>
      </c>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v>42643</v>
      </c>
      <c r="C48" s="166">
        <f t="shared" si="5"/>
        <v>39</v>
      </c>
      <c r="D48" s="67">
        <v>30</v>
      </c>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35</v>
      </c>
      <c r="L55" s="153">
        <f>SUMIF(C16:C50,K55,O16:O50)</f>
        <v>0</v>
      </c>
      <c r="M55" s="154" t="str">
        <f>IF(L55=0,"",((($G$11-L55)*24)*-1)*60)</f>
        <v/>
      </c>
    </row>
    <row r="56" spans="2:15" s="155" customFormat="1" x14ac:dyDescent="0.25">
      <c r="C56" s="171"/>
      <c r="D56" s="173"/>
      <c r="K56" s="152">
        <v>36</v>
      </c>
      <c r="L56" s="153">
        <f t="shared" ref="L56:L59" si="10">SUMIF(C17:C51,K56,O17:O51)</f>
        <v>0</v>
      </c>
      <c r="M56" s="154" t="str">
        <f t="shared" ref="M56:M59" si="11">IF(L56=0,"",((($G$11-L56)*24)*-1)*60)</f>
        <v/>
      </c>
    </row>
    <row r="57" spans="2:15" s="155" customFormat="1" x14ac:dyDescent="0.25">
      <c r="C57" s="171"/>
      <c r="D57" s="173"/>
      <c r="K57" s="152">
        <v>37</v>
      </c>
      <c r="L57" s="153">
        <f t="shared" si="10"/>
        <v>0</v>
      </c>
      <c r="M57" s="154" t="str">
        <f t="shared" si="11"/>
        <v/>
      </c>
    </row>
    <row r="58" spans="2:15" s="155" customFormat="1" x14ac:dyDescent="0.25">
      <c r="C58" s="171"/>
      <c r="D58" s="173"/>
      <c r="K58" s="152">
        <v>38</v>
      </c>
      <c r="L58" s="153">
        <f t="shared" si="10"/>
        <v>0</v>
      </c>
      <c r="M58" s="154" t="str">
        <f t="shared" si="11"/>
        <v/>
      </c>
    </row>
    <row r="59" spans="2:15" s="155" customFormat="1" x14ac:dyDescent="0.25">
      <c r="C59" s="171"/>
      <c r="D59" s="173"/>
      <c r="J59" s="150" t="s">
        <v>60</v>
      </c>
      <c r="K59" s="152">
        <v>39</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PhXehO3zOkyM0Dja7APUNuYJ3h7C0izi2w+E/geFCoz3qtrHsC/OgiYKt6k5PrAZ9NtKBIyOoXh6HDLLUTxoPA==" saltValue="JKxk8mG/X9aQgavUdb+UJ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4" priority="1" operator="lessThan">
      <formula>0</formula>
    </cfRule>
  </conditionalFormatting>
  <pageMargins left="0.5" right="0.5" top="0.75" bottom="0" header="0.5" footer="0"/>
  <pageSetup paperSize="9" scale="5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68</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B16" s="167">
        <v>42646</v>
      </c>
      <c r="C16" s="166">
        <f>TRUNC((B16-DATE(YEAR(B16+3-MOD(B16-2,7)),1,MOD(B16-2,7)-9))/7)</f>
        <v>40</v>
      </c>
      <c r="D16" s="67">
        <v>3</v>
      </c>
      <c r="E16" s="43" t="s">
        <v>26</v>
      </c>
      <c r="F16" s="90"/>
      <c r="G16" s="90"/>
      <c r="H16" s="91">
        <f t="shared" ref="H16:H50" si="0">G16-F16</f>
        <v>0</v>
      </c>
      <c r="I16" s="92"/>
      <c r="J16" s="90"/>
      <c r="K16" s="91">
        <f t="shared" ref="K16:K50" si="1">J16-I16</f>
        <v>0</v>
      </c>
      <c r="L16" s="94">
        <f>(IF((H16+K16)&gt;0.375,0.0416666666666667,IF((H16+K16)&gt;0.25,0.0208333333333333,0)))</f>
        <v>0</v>
      </c>
      <c r="M16" s="93"/>
      <c r="N16" s="91" t="str">
        <f>IF(M16="","",M16*($G$11/$G$10))</f>
        <v/>
      </c>
      <c r="O16" s="94">
        <f>IF((H16+K16-L16)&gt;0.416666666666666,"10h überschritten",(H16+K16-L16))</f>
        <v>0</v>
      </c>
    </row>
    <row r="17" spans="2:15" ht="21" customHeight="1" x14ac:dyDescent="0.25">
      <c r="B17" s="167">
        <v>42647</v>
      </c>
      <c r="C17" s="166">
        <f t="shared" ref="C17:C44" si="2">TRUNC((B17-DATE(YEAR(B17+3-MOD(B17-2,7)),1,MOD(B17-2,7)-9))/7)</f>
        <v>40</v>
      </c>
      <c r="D17" s="67">
        <v>4</v>
      </c>
      <c r="E17" s="43" t="s">
        <v>27</v>
      </c>
      <c r="F17" s="44"/>
      <c r="G17" s="44"/>
      <c r="H17" s="58">
        <f t="shared" si="0"/>
        <v>0</v>
      </c>
      <c r="I17" s="45"/>
      <c r="J17" s="44"/>
      <c r="K17" s="58">
        <f t="shared" si="1"/>
        <v>0</v>
      </c>
      <c r="L17" s="59">
        <f t="shared" ref="L17:L20" si="3">(IF((H17+K17)&gt;0.375,0.0416666666666667,IF((H17+K17)&gt;0.25,0.0208333333333333,0)))</f>
        <v>0</v>
      </c>
      <c r="M17" s="46"/>
      <c r="N17" s="58" t="str">
        <f t="shared" ref="N17:N22" si="4">IF(M17="","",M17*($G$11/$G$10))</f>
        <v/>
      </c>
      <c r="O17" s="59">
        <f t="shared" ref="O17:O50" si="5">IF((H17+K17-L17)&gt;0.416666666666666,"10h überschritten",(H17+K17-L17))</f>
        <v>0</v>
      </c>
    </row>
    <row r="18" spans="2:15" ht="21" customHeight="1" x14ac:dyDescent="0.25">
      <c r="B18" s="167">
        <v>42648</v>
      </c>
      <c r="C18" s="166">
        <f t="shared" si="2"/>
        <v>40</v>
      </c>
      <c r="D18" s="67">
        <v>5</v>
      </c>
      <c r="E18" s="43" t="s">
        <v>28</v>
      </c>
      <c r="F18" s="44"/>
      <c r="G18" s="44"/>
      <c r="H18" s="58">
        <f t="shared" si="0"/>
        <v>0</v>
      </c>
      <c r="I18" s="45"/>
      <c r="J18" s="44"/>
      <c r="K18" s="58">
        <f t="shared" si="1"/>
        <v>0</v>
      </c>
      <c r="L18" s="59">
        <f t="shared" si="3"/>
        <v>0</v>
      </c>
      <c r="M18" s="46"/>
      <c r="N18" s="58" t="str">
        <f t="shared" si="4"/>
        <v/>
      </c>
      <c r="O18" s="59">
        <f t="shared" si="5"/>
        <v>0</v>
      </c>
    </row>
    <row r="19" spans="2:15" ht="21" customHeight="1" x14ac:dyDescent="0.25">
      <c r="B19" s="167">
        <v>42649</v>
      </c>
      <c r="C19" s="166">
        <f t="shared" si="2"/>
        <v>40</v>
      </c>
      <c r="D19" s="67">
        <v>6</v>
      </c>
      <c r="E19" s="43" t="s">
        <v>29</v>
      </c>
      <c r="F19" s="44"/>
      <c r="G19" s="44"/>
      <c r="H19" s="58">
        <f t="shared" si="0"/>
        <v>0</v>
      </c>
      <c r="I19" s="45"/>
      <c r="J19" s="44"/>
      <c r="K19" s="58">
        <f t="shared" si="1"/>
        <v>0</v>
      </c>
      <c r="L19" s="59">
        <f t="shared" si="3"/>
        <v>0</v>
      </c>
      <c r="M19" s="46"/>
      <c r="N19" s="58" t="str">
        <f t="shared" si="4"/>
        <v/>
      </c>
      <c r="O19" s="59">
        <f t="shared" si="5"/>
        <v>0</v>
      </c>
    </row>
    <row r="20" spans="2:15" ht="21" customHeight="1" thickBot="1" x14ac:dyDescent="0.3">
      <c r="B20" s="167">
        <v>42650</v>
      </c>
      <c r="C20" s="166">
        <f t="shared" si="2"/>
        <v>40</v>
      </c>
      <c r="D20" s="67">
        <v>7</v>
      </c>
      <c r="E20" s="70" t="s">
        <v>30</v>
      </c>
      <c r="F20" s="71"/>
      <c r="G20" s="71"/>
      <c r="H20" s="72">
        <f t="shared" si="0"/>
        <v>0</v>
      </c>
      <c r="I20" s="64"/>
      <c r="J20" s="71"/>
      <c r="K20" s="72">
        <f t="shared" si="1"/>
        <v>0</v>
      </c>
      <c r="L20" s="74">
        <f t="shared" si="3"/>
        <v>0</v>
      </c>
      <c r="M20" s="73"/>
      <c r="N20" s="72" t="str">
        <f t="shared" si="4"/>
        <v/>
      </c>
      <c r="O20" s="74">
        <f t="shared" si="5"/>
        <v>0</v>
      </c>
    </row>
    <row r="21" spans="2:15" ht="21" customHeight="1" x14ac:dyDescent="0.25">
      <c r="B21" s="167">
        <v>42651</v>
      </c>
      <c r="C21" s="166">
        <f t="shared" si="2"/>
        <v>40</v>
      </c>
      <c r="D21" s="67">
        <v>8</v>
      </c>
      <c r="E21" s="77" t="s">
        <v>31</v>
      </c>
      <c r="F21" s="182"/>
      <c r="G21" s="182"/>
      <c r="H21" s="79">
        <f t="shared" si="0"/>
        <v>0</v>
      </c>
      <c r="I21" s="183"/>
      <c r="J21" s="182"/>
      <c r="K21" s="79">
        <f t="shared" si="1"/>
        <v>0</v>
      </c>
      <c r="L21" s="184"/>
      <c r="M21" s="185"/>
      <c r="N21" s="79" t="str">
        <f t="shared" si="4"/>
        <v/>
      </c>
      <c r="O21" s="184">
        <f t="shared" si="5"/>
        <v>0</v>
      </c>
    </row>
    <row r="22" spans="2:15" ht="21" customHeight="1" thickBot="1" x14ac:dyDescent="0.3">
      <c r="B22" s="167">
        <v>42652</v>
      </c>
      <c r="C22" s="166">
        <f t="shared" si="2"/>
        <v>40</v>
      </c>
      <c r="D22" s="67">
        <v>9</v>
      </c>
      <c r="E22" s="84" t="s">
        <v>32</v>
      </c>
      <c r="F22" s="186"/>
      <c r="G22" s="186"/>
      <c r="H22" s="86">
        <f t="shared" si="0"/>
        <v>0</v>
      </c>
      <c r="I22" s="187"/>
      <c r="J22" s="186"/>
      <c r="K22" s="86">
        <f t="shared" si="1"/>
        <v>0</v>
      </c>
      <c r="L22" s="188"/>
      <c r="M22" s="189"/>
      <c r="N22" s="86" t="str">
        <f t="shared" si="4"/>
        <v/>
      </c>
      <c r="O22" s="188">
        <f t="shared" si="5"/>
        <v>0</v>
      </c>
    </row>
    <row r="23" spans="2:15" ht="21" customHeight="1" x14ac:dyDescent="0.25">
      <c r="B23" s="167">
        <v>42653</v>
      </c>
      <c r="C23" s="166">
        <f t="shared" si="2"/>
        <v>41</v>
      </c>
      <c r="D23" s="67">
        <v>10</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5"/>
        <v>0</v>
      </c>
    </row>
    <row r="24" spans="2:15" ht="21" customHeight="1" x14ac:dyDescent="0.25">
      <c r="B24" s="167">
        <v>42654</v>
      </c>
      <c r="C24" s="166">
        <f t="shared" si="2"/>
        <v>41</v>
      </c>
      <c r="D24" s="67">
        <v>11</v>
      </c>
      <c r="E24" s="43" t="s">
        <v>27</v>
      </c>
      <c r="F24" s="44"/>
      <c r="G24" s="44"/>
      <c r="H24" s="58">
        <f t="shared" si="0"/>
        <v>0</v>
      </c>
      <c r="I24" s="45"/>
      <c r="J24" s="44"/>
      <c r="K24" s="58">
        <f t="shared" si="1"/>
        <v>0</v>
      </c>
      <c r="L24" s="59">
        <f t="shared" si="6"/>
        <v>0</v>
      </c>
      <c r="M24" s="46"/>
      <c r="N24" s="58" t="str">
        <f>IF(M24="","",M24*($G$11/$G$10))</f>
        <v/>
      </c>
      <c r="O24" s="59">
        <f t="shared" si="5"/>
        <v>0</v>
      </c>
    </row>
    <row r="25" spans="2:15" ht="21" customHeight="1" x14ac:dyDescent="0.25">
      <c r="B25" s="167">
        <v>42655</v>
      </c>
      <c r="C25" s="166">
        <f t="shared" si="2"/>
        <v>41</v>
      </c>
      <c r="D25" s="67">
        <v>12</v>
      </c>
      <c r="E25" s="43" t="s">
        <v>28</v>
      </c>
      <c r="F25" s="44"/>
      <c r="G25" s="44"/>
      <c r="H25" s="107">
        <f t="shared" si="0"/>
        <v>0</v>
      </c>
      <c r="I25" s="45"/>
      <c r="J25" s="44"/>
      <c r="K25" s="58">
        <f t="shared" si="1"/>
        <v>0</v>
      </c>
      <c r="L25" s="59">
        <f t="shared" si="6"/>
        <v>0</v>
      </c>
      <c r="M25" s="46"/>
      <c r="N25" s="58"/>
      <c r="O25" s="59">
        <f t="shared" si="5"/>
        <v>0</v>
      </c>
    </row>
    <row r="26" spans="2:15" ht="21" customHeight="1" x14ac:dyDescent="0.25">
      <c r="B26" s="167">
        <v>42656</v>
      </c>
      <c r="C26" s="166">
        <f t="shared" si="2"/>
        <v>41</v>
      </c>
      <c r="D26" s="67">
        <v>13</v>
      </c>
      <c r="E26" s="43" t="s">
        <v>29</v>
      </c>
      <c r="F26" s="44"/>
      <c r="G26" s="44"/>
      <c r="H26" s="58">
        <f t="shared" si="0"/>
        <v>0</v>
      </c>
      <c r="I26" s="45"/>
      <c r="J26" s="44"/>
      <c r="K26" s="58">
        <f t="shared" si="1"/>
        <v>0</v>
      </c>
      <c r="L26" s="59">
        <f t="shared" si="6"/>
        <v>0</v>
      </c>
      <c r="M26" s="46"/>
      <c r="N26" s="58"/>
      <c r="O26" s="59">
        <f t="shared" si="5"/>
        <v>0</v>
      </c>
    </row>
    <row r="27" spans="2:15" ht="21" customHeight="1" thickBot="1" x14ac:dyDescent="0.3">
      <c r="B27" s="167">
        <v>42657</v>
      </c>
      <c r="C27" s="166">
        <f t="shared" si="2"/>
        <v>41</v>
      </c>
      <c r="D27" s="67">
        <v>14</v>
      </c>
      <c r="E27" s="70" t="s">
        <v>30</v>
      </c>
      <c r="F27" s="71"/>
      <c r="G27" s="71"/>
      <c r="H27" s="72">
        <f t="shared" si="0"/>
        <v>0</v>
      </c>
      <c r="I27" s="64"/>
      <c r="J27" s="71"/>
      <c r="K27" s="72">
        <f t="shared" si="1"/>
        <v>0</v>
      </c>
      <c r="L27" s="74">
        <f t="shared" si="6"/>
        <v>0</v>
      </c>
      <c r="M27" s="73"/>
      <c r="N27" s="72"/>
      <c r="O27" s="74">
        <f t="shared" si="5"/>
        <v>0</v>
      </c>
    </row>
    <row r="28" spans="2:15" ht="21" customHeight="1" x14ac:dyDescent="0.25">
      <c r="B28" s="167">
        <v>42658</v>
      </c>
      <c r="C28" s="166">
        <f t="shared" si="2"/>
        <v>41</v>
      </c>
      <c r="D28" s="67">
        <v>15</v>
      </c>
      <c r="E28" s="77" t="s">
        <v>31</v>
      </c>
      <c r="F28" s="182"/>
      <c r="G28" s="182"/>
      <c r="H28" s="79">
        <f t="shared" si="0"/>
        <v>0</v>
      </c>
      <c r="I28" s="183"/>
      <c r="J28" s="182"/>
      <c r="K28" s="79">
        <f t="shared" si="1"/>
        <v>0</v>
      </c>
      <c r="L28" s="184"/>
      <c r="M28" s="185"/>
      <c r="N28" s="79"/>
      <c r="O28" s="184">
        <f t="shared" si="5"/>
        <v>0</v>
      </c>
    </row>
    <row r="29" spans="2:15" ht="21" customHeight="1" thickBot="1" x14ac:dyDescent="0.3">
      <c r="B29" s="167">
        <v>42659</v>
      </c>
      <c r="C29" s="166">
        <f t="shared" si="2"/>
        <v>41</v>
      </c>
      <c r="D29" s="67">
        <v>16</v>
      </c>
      <c r="E29" s="84" t="s">
        <v>32</v>
      </c>
      <c r="F29" s="186"/>
      <c r="G29" s="186"/>
      <c r="H29" s="86">
        <f t="shared" si="0"/>
        <v>0</v>
      </c>
      <c r="I29" s="187"/>
      <c r="J29" s="186"/>
      <c r="K29" s="86">
        <f t="shared" si="1"/>
        <v>0</v>
      </c>
      <c r="L29" s="188"/>
      <c r="M29" s="189"/>
      <c r="N29" s="86"/>
      <c r="O29" s="188">
        <f t="shared" si="5"/>
        <v>0</v>
      </c>
    </row>
    <row r="30" spans="2:15" ht="21" customHeight="1" x14ac:dyDescent="0.25">
      <c r="B30" s="167">
        <v>42660</v>
      </c>
      <c r="C30" s="166">
        <f t="shared" si="2"/>
        <v>42</v>
      </c>
      <c r="D30" s="67">
        <v>17</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5"/>
        <v>0</v>
      </c>
    </row>
    <row r="31" spans="2:15" ht="21" customHeight="1" x14ac:dyDescent="0.25">
      <c r="B31" s="167">
        <v>42661</v>
      </c>
      <c r="C31" s="166">
        <f t="shared" si="2"/>
        <v>42</v>
      </c>
      <c r="D31" s="67">
        <v>18</v>
      </c>
      <c r="E31" s="43" t="s">
        <v>27</v>
      </c>
      <c r="F31" s="44"/>
      <c r="G31" s="44"/>
      <c r="H31" s="58">
        <f t="shared" si="0"/>
        <v>0</v>
      </c>
      <c r="I31" s="45"/>
      <c r="J31" s="44"/>
      <c r="K31" s="58">
        <f t="shared" si="1"/>
        <v>0</v>
      </c>
      <c r="L31" s="59">
        <f t="shared" si="7"/>
        <v>0</v>
      </c>
      <c r="M31" s="46"/>
      <c r="N31" s="58"/>
      <c r="O31" s="59">
        <f t="shared" si="5"/>
        <v>0</v>
      </c>
    </row>
    <row r="32" spans="2:15" ht="21" customHeight="1" x14ac:dyDescent="0.25">
      <c r="B32" s="167">
        <v>42662</v>
      </c>
      <c r="C32" s="166">
        <f t="shared" si="2"/>
        <v>42</v>
      </c>
      <c r="D32" s="67">
        <v>19</v>
      </c>
      <c r="E32" s="43" t="s">
        <v>28</v>
      </c>
      <c r="F32" s="44"/>
      <c r="G32" s="44"/>
      <c r="H32" s="58">
        <f t="shared" si="0"/>
        <v>0</v>
      </c>
      <c r="I32" s="45"/>
      <c r="J32" s="44"/>
      <c r="K32" s="58">
        <f t="shared" si="1"/>
        <v>0</v>
      </c>
      <c r="L32" s="59">
        <f t="shared" si="7"/>
        <v>0</v>
      </c>
      <c r="M32" s="46"/>
      <c r="N32" s="58"/>
      <c r="O32" s="59">
        <f t="shared" si="5"/>
        <v>0</v>
      </c>
    </row>
    <row r="33" spans="2:15" ht="21" customHeight="1" x14ac:dyDescent="0.25">
      <c r="B33" s="167">
        <v>42663</v>
      </c>
      <c r="C33" s="166">
        <f t="shared" si="2"/>
        <v>42</v>
      </c>
      <c r="D33" s="67">
        <v>20</v>
      </c>
      <c r="E33" s="43" t="s">
        <v>29</v>
      </c>
      <c r="F33" s="44"/>
      <c r="G33" s="44"/>
      <c r="H33" s="58">
        <f t="shared" si="0"/>
        <v>0</v>
      </c>
      <c r="I33" s="45"/>
      <c r="J33" s="44"/>
      <c r="K33" s="58">
        <f t="shared" si="1"/>
        <v>0</v>
      </c>
      <c r="L33" s="59">
        <f t="shared" si="7"/>
        <v>0</v>
      </c>
      <c r="M33" s="46"/>
      <c r="N33" s="58"/>
      <c r="O33" s="59">
        <f t="shared" si="5"/>
        <v>0</v>
      </c>
    </row>
    <row r="34" spans="2:15" ht="21" customHeight="1" thickBot="1" x14ac:dyDescent="0.3">
      <c r="B34" s="167">
        <v>42664</v>
      </c>
      <c r="C34" s="166">
        <f t="shared" si="2"/>
        <v>42</v>
      </c>
      <c r="D34" s="67">
        <v>21</v>
      </c>
      <c r="E34" s="70" t="s">
        <v>30</v>
      </c>
      <c r="F34" s="71"/>
      <c r="G34" s="71"/>
      <c r="H34" s="72">
        <f t="shared" si="0"/>
        <v>0</v>
      </c>
      <c r="I34" s="64"/>
      <c r="J34" s="71"/>
      <c r="K34" s="72">
        <f t="shared" si="1"/>
        <v>0</v>
      </c>
      <c r="L34" s="74">
        <f t="shared" si="7"/>
        <v>0</v>
      </c>
      <c r="M34" s="73"/>
      <c r="N34" s="72"/>
      <c r="O34" s="74">
        <f t="shared" si="5"/>
        <v>0</v>
      </c>
    </row>
    <row r="35" spans="2:15" ht="21" customHeight="1" x14ac:dyDescent="0.25">
      <c r="B35" s="167">
        <v>42665</v>
      </c>
      <c r="C35" s="166">
        <f t="shared" si="2"/>
        <v>42</v>
      </c>
      <c r="D35" s="67">
        <v>22</v>
      </c>
      <c r="E35" s="77" t="s">
        <v>31</v>
      </c>
      <c r="F35" s="182"/>
      <c r="G35" s="182"/>
      <c r="H35" s="79">
        <f t="shared" si="0"/>
        <v>0</v>
      </c>
      <c r="I35" s="183"/>
      <c r="J35" s="182"/>
      <c r="K35" s="79">
        <f t="shared" si="1"/>
        <v>0</v>
      </c>
      <c r="L35" s="184"/>
      <c r="M35" s="185"/>
      <c r="N35" s="79"/>
      <c r="O35" s="184">
        <f t="shared" si="5"/>
        <v>0</v>
      </c>
    </row>
    <row r="36" spans="2:15" ht="21" customHeight="1" thickBot="1" x14ac:dyDescent="0.3">
      <c r="B36" s="167">
        <v>42666</v>
      </c>
      <c r="C36" s="166">
        <f t="shared" si="2"/>
        <v>42</v>
      </c>
      <c r="D36" s="67">
        <v>23</v>
      </c>
      <c r="E36" s="84" t="s">
        <v>32</v>
      </c>
      <c r="F36" s="186"/>
      <c r="G36" s="186"/>
      <c r="H36" s="86">
        <f t="shared" si="0"/>
        <v>0</v>
      </c>
      <c r="I36" s="187"/>
      <c r="J36" s="186"/>
      <c r="K36" s="86">
        <f t="shared" si="1"/>
        <v>0</v>
      </c>
      <c r="L36" s="188"/>
      <c r="M36" s="189"/>
      <c r="N36" s="86"/>
      <c r="O36" s="188">
        <f t="shared" si="5"/>
        <v>0</v>
      </c>
    </row>
    <row r="37" spans="2:15" ht="21" customHeight="1" x14ac:dyDescent="0.25">
      <c r="B37" s="167">
        <v>42667</v>
      </c>
      <c r="C37" s="166">
        <f t="shared" si="2"/>
        <v>43</v>
      </c>
      <c r="D37" s="67">
        <v>24</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5"/>
        <v>0</v>
      </c>
    </row>
    <row r="38" spans="2:15" ht="21" customHeight="1" x14ac:dyDescent="0.25">
      <c r="B38" s="167">
        <v>42668</v>
      </c>
      <c r="C38" s="166">
        <f t="shared" si="2"/>
        <v>43</v>
      </c>
      <c r="D38" s="67">
        <v>25</v>
      </c>
      <c r="E38" s="43" t="s">
        <v>27</v>
      </c>
      <c r="F38" s="44"/>
      <c r="G38" s="44"/>
      <c r="H38" s="58">
        <f t="shared" si="0"/>
        <v>0</v>
      </c>
      <c r="I38" s="45"/>
      <c r="J38" s="44"/>
      <c r="K38" s="58">
        <f t="shared" si="1"/>
        <v>0</v>
      </c>
      <c r="L38" s="59">
        <f t="shared" si="8"/>
        <v>0</v>
      </c>
      <c r="M38" s="46"/>
      <c r="N38" s="58"/>
      <c r="O38" s="59">
        <f t="shared" si="5"/>
        <v>0</v>
      </c>
    </row>
    <row r="39" spans="2:15" ht="21" customHeight="1" x14ac:dyDescent="0.25">
      <c r="B39" s="167">
        <v>42669</v>
      </c>
      <c r="C39" s="166">
        <f t="shared" si="2"/>
        <v>43</v>
      </c>
      <c r="D39" s="67">
        <v>26</v>
      </c>
      <c r="E39" s="43" t="s">
        <v>28</v>
      </c>
      <c r="F39" s="44"/>
      <c r="G39" s="44"/>
      <c r="H39" s="58">
        <f t="shared" si="0"/>
        <v>0</v>
      </c>
      <c r="I39" s="45"/>
      <c r="J39" s="44"/>
      <c r="K39" s="58">
        <f t="shared" si="1"/>
        <v>0</v>
      </c>
      <c r="L39" s="59">
        <f t="shared" si="8"/>
        <v>0</v>
      </c>
      <c r="M39" s="46"/>
      <c r="N39" s="58"/>
      <c r="O39" s="59">
        <f t="shared" si="5"/>
        <v>0</v>
      </c>
    </row>
    <row r="40" spans="2:15" ht="21" customHeight="1" x14ac:dyDescent="0.25">
      <c r="B40" s="167">
        <v>42670</v>
      </c>
      <c r="C40" s="166">
        <f t="shared" si="2"/>
        <v>43</v>
      </c>
      <c r="D40" s="67">
        <v>27</v>
      </c>
      <c r="E40" s="43" t="s">
        <v>29</v>
      </c>
      <c r="F40" s="44"/>
      <c r="G40" s="44"/>
      <c r="H40" s="58">
        <f t="shared" si="0"/>
        <v>0</v>
      </c>
      <c r="I40" s="45"/>
      <c r="J40" s="44"/>
      <c r="K40" s="58">
        <f t="shared" si="1"/>
        <v>0</v>
      </c>
      <c r="L40" s="59">
        <f t="shared" si="8"/>
        <v>0</v>
      </c>
      <c r="M40" s="46"/>
      <c r="N40" s="58"/>
      <c r="O40" s="59">
        <f t="shared" si="5"/>
        <v>0</v>
      </c>
    </row>
    <row r="41" spans="2:15" ht="21" customHeight="1" thickBot="1" x14ac:dyDescent="0.3">
      <c r="B41" s="167">
        <v>42671</v>
      </c>
      <c r="C41" s="166">
        <f t="shared" si="2"/>
        <v>43</v>
      </c>
      <c r="D41" s="67">
        <v>28</v>
      </c>
      <c r="E41" s="70" t="s">
        <v>30</v>
      </c>
      <c r="F41" s="71"/>
      <c r="G41" s="71"/>
      <c r="H41" s="72">
        <f t="shared" si="0"/>
        <v>0</v>
      </c>
      <c r="I41" s="64"/>
      <c r="J41" s="71"/>
      <c r="K41" s="72">
        <f t="shared" si="1"/>
        <v>0</v>
      </c>
      <c r="L41" s="74">
        <f t="shared" si="8"/>
        <v>0</v>
      </c>
      <c r="M41" s="73"/>
      <c r="N41" s="72"/>
      <c r="O41" s="74">
        <f t="shared" si="5"/>
        <v>0</v>
      </c>
    </row>
    <row r="42" spans="2:15" ht="21" customHeight="1" x14ac:dyDescent="0.25">
      <c r="B42" s="167">
        <v>42672</v>
      </c>
      <c r="C42" s="166">
        <f t="shared" si="2"/>
        <v>43</v>
      </c>
      <c r="D42" s="67">
        <v>29</v>
      </c>
      <c r="E42" s="77" t="s">
        <v>31</v>
      </c>
      <c r="F42" s="182"/>
      <c r="G42" s="182"/>
      <c r="H42" s="79">
        <f t="shared" si="0"/>
        <v>0</v>
      </c>
      <c r="I42" s="183"/>
      <c r="J42" s="182"/>
      <c r="K42" s="79">
        <f t="shared" si="1"/>
        <v>0</v>
      </c>
      <c r="L42" s="184"/>
      <c r="M42" s="185"/>
      <c r="N42" s="79"/>
      <c r="O42" s="184">
        <f t="shared" si="5"/>
        <v>0</v>
      </c>
    </row>
    <row r="43" spans="2:15" ht="21" customHeight="1" thickBot="1" x14ac:dyDescent="0.3">
      <c r="B43" s="167">
        <v>42673</v>
      </c>
      <c r="C43" s="166">
        <f t="shared" si="2"/>
        <v>43</v>
      </c>
      <c r="D43" s="67">
        <v>30</v>
      </c>
      <c r="E43" s="84" t="s">
        <v>32</v>
      </c>
      <c r="F43" s="186"/>
      <c r="G43" s="186"/>
      <c r="H43" s="86">
        <f t="shared" si="0"/>
        <v>0</v>
      </c>
      <c r="I43" s="187"/>
      <c r="J43" s="186"/>
      <c r="K43" s="86">
        <f t="shared" si="1"/>
        <v>0</v>
      </c>
      <c r="L43" s="188"/>
      <c r="M43" s="189"/>
      <c r="N43" s="86"/>
      <c r="O43" s="188">
        <f t="shared" si="5"/>
        <v>0</v>
      </c>
    </row>
    <row r="44" spans="2:15" ht="21" customHeight="1" x14ac:dyDescent="0.25">
      <c r="B44" s="167">
        <v>42674</v>
      </c>
      <c r="C44" s="166">
        <f t="shared" si="2"/>
        <v>44</v>
      </c>
      <c r="D44" s="67">
        <v>31</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5"/>
        <v>0</v>
      </c>
    </row>
    <row r="45" spans="2:15" ht="21" customHeight="1" x14ac:dyDescent="0.25">
      <c r="B45" s="167"/>
      <c r="C45" s="166"/>
      <c r="D45" s="67"/>
      <c r="E45" s="43" t="s">
        <v>27</v>
      </c>
      <c r="F45" s="44"/>
      <c r="G45" s="44"/>
      <c r="H45" s="58">
        <f t="shared" si="0"/>
        <v>0</v>
      </c>
      <c r="I45" s="45"/>
      <c r="J45" s="44"/>
      <c r="K45" s="58">
        <f t="shared" si="1"/>
        <v>0</v>
      </c>
      <c r="L45" s="59">
        <f t="shared" si="9"/>
        <v>0</v>
      </c>
      <c r="M45" s="46"/>
      <c r="N45" s="58"/>
      <c r="O45" s="59">
        <f t="shared" si="5"/>
        <v>0</v>
      </c>
    </row>
    <row r="46" spans="2:15" ht="21" customHeight="1" x14ac:dyDescent="0.25">
      <c r="B46" s="167"/>
      <c r="C46" s="166"/>
      <c r="D46" s="67"/>
      <c r="E46" s="43" t="s">
        <v>28</v>
      </c>
      <c r="F46" s="44"/>
      <c r="G46" s="44"/>
      <c r="H46" s="58">
        <f t="shared" si="0"/>
        <v>0</v>
      </c>
      <c r="I46" s="45"/>
      <c r="J46" s="44"/>
      <c r="K46" s="58">
        <f t="shared" si="1"/>
        <v>0</v>
      </c>
      <c r="L46" s="59">
        <f t="shared" si="9"/>
        <v>0</v>
      </c>
      <c r="M46" s="46"/>
      <c r="N46" s="58"/>
      <c r="O46" s="59">
        <f t="shared" si="5"/>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5"/>
        <v>0</v>
      </c>
    </row>
    <row r="48" spans="2:15" ht="21" customHeight="1" thickBot="1" x14ac:dyDescent="0.3">
      <c r="B48" s="167"/>
      <c r="C48" s="166"/>
      <c r="D48" s="67"/>
      <c r="E48" s="70" t="s">
        <v>30</v>
      </c>
      <c r="F48" s="71"/>
      <c r="G48" s="71"/>
      <c r="H48" s="72">
        <f t="shared" si="0"/>
        <v>0</v>
      </c>
      <c r="I48" s="64"/>
      <c r="J48" s="71"/>
      <c r="K48" s="72">
        <f t="shared" si="1"/>
        <v>0</v>
      </c>
      <c r="L48" s="74">
        <f t="shared" si="9"/>
        <v>0</v>
      </c>
      <c r="M48" s="73"/>
      <c r="N48" s="72"/>
      <c r="O48" s="74">
        <f t="shared" si="5"/>
        <v>0</v>
      </c>
    </row>
    <row r="49" spans="2:15" ht="21" customHeight="1" x14ac:dyDescent="0.25">
      <c r="B49" s="167"/>
      <c r="C49" s="166"/>
      <c r="D49" s="67"/>
      <c r="E49" s="77" t="s">
        <v>31</v>
      </c>
      <c r="F49" s="182"/>
      <c r="G49" s="182"/>
      <c r="H49" s="79">
        <f t="shared" si="0"/>
        <v>0</v>
      </c>
      <c r="I49" s="183"/>
      <c r="J49" s="182"/>
      <c r="K49" s="79">
        <f t="shared" si="1"/>
        <v>0</v>
      </c>
      <c r="L49" s="184"/>
      <c r="M49" s="185"/>
      <c r="N49" s="79"/>
      <c r="O49" s="184">
        <f t="shared" si="5"/>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5"/>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40</v>
      </c>
      <c r="L55" s="153">
        <f>SUMIF(C16:C50,K55,O16:O50)</f>
        <v>0</v>
      </c>
      <c r="M55" s="154" t="str">
        <f>IF(L55=0,"",((($G$11-L55)*24)*-1)*60)</f>
        <v/>
      </c>
    </row>
    <row r="56" spans="2:15" s="155" customFormat="1" x14ac:dyDescent="0.25">
      <c r="C56" s="171"/>
      <c r="D56" s="173"/>
      <c r="K56" s="152">
        <v>41</v>
      </c>
      <c r="L56" s="153">
        <f t="shared" ref="L56:L59" si="10">SUMIF(C17:C51,K56,O17:O51)</f>
        <v>0</v>
      </c>
      <c r="M56" s="154" t="str">
        <f t="shared" ref="M56:M59" si="11">IF(L56=0,"",((($G$11-L56)*24)*-1)*60)</f>
        <v/>
      </c>
    </row>
    <row r="57" spans="2:15" s="155" customFormat="1" x14ac:dyDescent="0.25">
      <c r="C57" s="171"/>
      <c r="D57" s="173"/>
      <c r="K57" s="152">
        <v>42</v>
      </c>
      <c r="L57" s="153">
        <f t="shared" si="10"/>
        <v>0</v>
      </c>
      <c r="M57" s="154" t="str">
        <f t="shared" si="11"/>
        <v/>
      </c>
    </row>
    <row r="58" spans="2:15" s="155" customFormat="1" x14ac:dyDescent="0.25">
      <c r="C58" s="171"/>
      <c r="D58" s="173"/>
      <c r="K58" s="152">
        <v>43</v>
      </c>
      <c r="L58" s="153">
        <f t="shared" si="10"/>
        <v>0</v>
      </c>
      <c r="M58" s="154" t="str">
        <f t="shared" si="11"/>
        <v/>
      </c>
    </row>
    <row r="59" spans="2:15" s="155" customFormat="1" x14ac:dyDescent="0.25">
      <c r="C59" s="171"/>
      <c r="D59" s="173"/>
      <c r="J59" s="150" t="s">
        <v>60</v>
      </c>
      <c r="K59" s="152">
        <v>44</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NN19vJO8ZXN+oOLbwCsrkhKrSQ7c/888qu/+68ygLjnc0ZyE6Aa/+k/2kZQ0DoNK2BU3Tqtka6+hI8kX4Zg2sQ==" saltValue="Lpk1MUVQFZ6AFYkDZTthIQ=="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3" priority="1" operator="lessThan">
      <formula>0</formula>
    </cfRule>
  </conditionalFormatting>
  <pageMargins left="0.5" right="0.5" top="0.75" bottom="0" header="0.5" footer="0"/>
  <pageSetup paperSize="9" scale="5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rgb="FF92D050"/>
    <pageSetUpPr fitToPage="1"/>
  </sheetPr>
  <dimension ref="B1:P68"/>
  <sheetViews>
    <sheetView showGridLines="0" showZeros="0" topLeftCell="A31"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13</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B17" s="167">
        <v>42675</v>
      </c>
      <c r="C17" s="166">
        <f>TRUNC((B17-DATE(YEAR(B17+3-MOD(B17-2,7)),1,MOD(B17-2,7)-9))/7)</f>
        <v>44</v>
      </c>
      <c r="D17" s="67">
        <v>1</v>
      </c>
      <c r="E17" s="43" t="s">
        <v>27</v>
      </c>
      <c r="F17" s="90"/>
      <c r="G17" s="90"/>
      <c r="H17" s="91">
        <f t="shared" si="0"/>
        <v>0</v>
      </c>
      <c r="I17" s="92"/>
      <c r="J17" s="90"/>
      <c r="K17" s="91">
        <f t="shared" si="1"/>
        <v>0</v>
      </c>
      <c r="L17" s="94">
        <f t="shared" ref="L17:L20" si="2">(IF((H17+K17)&gt;0.375,0.0416666666666667,IF((H17+K17)&gt;0.25,0.0208333333333333,0)))</f>
        <v>0</v>
      </c>
      <c r="M17" s="93"/>
      <c r="N17" s="91" t="str">
        <f t="shared" ref="N17:N22" si="3">IF(M17="","",M17*($G$11/$G$10))</f>
        <v/>
      </c>
      <c r="O17" s="94">
        <f t="shared" ref="O17:O50" si="4">IF((H17+K17-L17)&gt;0.416666666666666,"10h überschritten",(H17+K17-L17))</f>
        <v>0</v>
      </c>
    </row>
    <row r="18" spans="2:15" ht="21" customHeight="1" x14ac:dyDescent="0.25">
      <c r="B18" s="167">
        <v>42676</v>
      </c>
      <c r="C18" s="166">
        <f t="shared" ref="C18:C46" si="5">TRUNC((B18-DATE(YEAR(B18+3-MOD(B18-2,7)),1,MOD(B18-2,7)-9))/7)</f>
        <v>44</v>
      </c>
      <c r="D18" s="67">
        <v>2</v>
      </c>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42677</v>
      </c>
      <c r="C19" s="166">
        <f t="shared" si="5"/>
        <v>44</v>
      </c>
      <c r="D19" s="67">
        <v>3</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42678</v>
      </c>
      <c r="C20" s="166">
        <f t="shared" si="5"/>
        <v>44</v>
      </c>
      <c r="D20" s="67">
        <v>4</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42679</v>
      </c>
      <c r="C21" s="166">
        <f t="shared" si="5"/>
        <v>44</v>
      </c>
      <c r="D21" s="67">
        <v>5</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42680</v>
      </c>
      <c r="C22" s="166">
        <f t="shared" si="5"/>
        <v>44</v>
      </c>
      <c r="D22" s="67">
        <v>6</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42681</v>
      </c>
      <c r="C23" s="166">
        <f t="shared" si="5"/>
        <v>45</v>
      </c>
      <c r="D23" s="67">
        <v>7</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42682</v>
      </c>
      <c r="C24" s="166">
        <f t="shared" si="5"/>
        <v>45</v>
      </c>
      <c r="D24" s="67">
        <v>8</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42683</v>
      </c>
      <c r="C25" s="166">
        <f t="shared" si="5"/>
        <v>45</v>
      </c>
      <c r="D25" s="67">
        <v>9</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42684</v>
      </c>
      <c r="C26" s="166">
        <f t="shared" si="5"/>
        <v>45</v>
      </c>
      <c r="D26" s="67">
        <v>10</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42685</v>
      </c>
      <c r="C27" s="166">
        <f t="shared" si="5"/>
        <v>45</v>
      </c>
      <c r="D27" s="67">
        <v>11</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42686</v>
      </c>
      <c r="C28" s="166">
        <f t="shared" si="5"/>
        <v>45</v>
      </c>
      <c r="D28" s="67">
        <v>12</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42687</v>
      </c>
      <c r="C29" s="166">
        <f t="shared" si="5"/>
        <v>45</v>
      </c>
      <c r="D29" s="67">
        <v>13</v>
      </c>
      <c r="E29" s="84" t="s">
        <v>32</v>
      </c>
      <c r="F29" s="186"/>
      <c r="G29" s="186"/>
      <c r="H29" s="86">
        <f t="shared" si="0"/>
        <v>0</v>
      </c>
      <c r="I29" s="187"/>
      <c r="J29" s="186"/>
      <c r="K29" s="86">
        <f t="shared" si="1"/>
        <v>0</v>
      </c>
      <c r="L29" s="188"/>
      <c r="M29" s="189"/>
      <c r="N29" s="86"/>
      <c r="O29" s="188">
        <f t="shared" si="4"/>
        <v>0</v>
      </c>
    </row>
    <row r="30" spans="2:15" ht="21" customHeight="1" x14ac:dyDescent="0.25">
      <c r="B30" s="167">
        <v>42688</v>
      </c>
      <c r="C30" s="166">
        <f t="shared" si="5"/>
        <v>46</v>
      </c>
      <c r="D30" s="67">
        <v>14</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42689</v>
      </c>
      <c r="C31" s="166">
        <f t="shared" si="5"/>
        <v>46</v>
      </c>
      <c r="D31" s="67">
        <v>15</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42690</v>
      </c>
      <c r="C32" s="166">
        <f t="shared" si="5"/>
        <v>46</v>
      </c>
      <c r="D32" s="67">
        <v>16</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42691</v>
      </c>
      <c r="C33" s="166">
        <f t="shared" si="5"/>
        <v>46</v>
      </c>
      <c r="D33" s="67">
        <v>17</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42692</v>
      </c>
      <c r="C34" s="166">
        <f t="shared" si="5"/>
        <v>46</v>
      </c>
      <c r="D34" s="67">
        <v>18</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42693</v>
      </c>
      <c r="C35" s="166">
        <f t="shared" si="5"/>
        <v>46</v>
      </c>
      <c r="D35" s="67">
        <v>19</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42694</v>
      </c>
      <c r="C36" s="166">
        <f t="shared" si="5"/>
        <v>46</v>
      </c>
      <c r="D36" s="67">
        <v>20</v>
      </c>
      <c r="E36" s="84" t="s">
        <v>32</v>
      </c>
      <c r="F36" s="186"/>
      <c r="G36" s="186"/>
      <c r="H36" s="86">
        <f t="shared" si="0"/>
        <v>0</v>
      </c>
      <c r="I36" s="187"/>
      <c r="J36" s="186"/>
      <c r="K36" s="86">
        <f t="shared" si="1"/>
        <v>0</v>
      </c>
      <c r="L36" s="188"/>
      <c r="M36" s="189"/>
      <c r="N36" s="86"/>
      <c r="O36" s="188">
        <f t="shared" si="4"/>
        <v>0</v>
      </c>
    </row>
    <row r="37" spans="2:15" ht="21" customHeight="1" x14ac:dyDescent="0.25">
      <c r="B37" s="167">
        <v>42695</v>
      </c>
      <c r="C37" s="166">
        <f t="shared" si="5"/>
        <v>47</v>
      </c>
      <c r="D37" s="67">
        <v>21</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42696</v>
      </c>
      <c r="C38" s="166">
        <f t="shared" si="5"/>
        <v>47</v>
      </c>
      <c r="D38" s="67">
        <v>22</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42697</v>
      </c>
      <c r="C39" s="166">
        <f t="shared" si="5"/>
        <v>47</v>
      </c>
      <c r="D39" s="67">
        <v>23</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42698</v>
      </c>
      <c r="C40" s="166">
        <f t="shared" si="5"/>
        <v>47</v>
      </c>
      <c r="D40" s="67">
        <v>24</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42699</v>
      </c>
      <c r="C41" s="166">
        <f t="shared" si="5"/>
        <v>47</v>
      </c>
      <c r="D41" s="67">
        <v>25</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42700</v>
      </c>
      <c r="C42" s="166">
        <f t="shared" si="5"/>
        <v>47</v>
      </c>
      <c r="D42" s="67">
        <v>26</v>
      </c>
      <c r="E42" s="77" t="s">
        <v>31</v>
      </c>
      <c r="F42" s="182"/>
      <c r="G42" s="182"/>
      <c r="H42" s="79">
        <f t="shared" si="0"/>
        <v>0</v>
      </c>
      <c r="I42" s="183"/>
      <c r="J42" s="182"/>
      <c r="K42" s="79">
        <f t="shared" si="1"/>
        <v>0</v>
      </c>
      <c r="L42" s="184"/>
      <c r="M42" s="185"/>
      <c r="N42" s="79"/>
      <c r="O42" s="184">
        <f t="shared" si="4"/>
        <v>0</v>
      </c>
    </row>
    <row r="43" spans="2:15" ht="21" customHeight="1" thickBot="1" x14ac:dyDescent="0.3">
      <c r="B43" s="167">
        <v>42701</v>
      </c>
      <c r="C43" s="166">
        <f t="shared" si="5"/>
        <v>47</v>
      </c>
      <c r="D43" s="67">
        <v>27</v>
      </c>
      <c r="E43" s="84" t="s">
        <v>32</v>
      </c>
      <c r="F43" s="186"/>
      <c r="G43" s="186"/>
      <c r="H43" s="86">
        <f t="shared" si="0"/>
        <v>0</v>
      </c>
      <c r="I43" s="187"/>
      <c r="J43" s="186"/>
      <c r="K43" s="86">
        <f t="shared" si="1"/>
        <v>0</v>
      </c>
      <c r="L43" s="188"/>
      <c r="M43" s="189"/>
      <c r="N43" s="86"/>
      <c r="O43" s="188">
        <f t="shared" si="4"/>
        <v>0</v>
      </c>
    </row>
    <row r="44" spans="2:15" ht="21" customHeight="1" x14ac:dyDescent="0.25">
      <c r="B44" s="167">
        <v>42702</v>
      </c>
      <c r="C44" s="166">
        <f t="shared" si="5"/>
        <v>48</v>
      </c>
      <c r="D44" s="67">
        <v>28</v>
      </c>
      <c r="E44" s="43" t="s">
        <v>26</v>
      </c>
      <c r="F44" s="44"/>
      <c r="G44" s="44"/>
      <c r="H44" s="75">
        <f t="shared" si="0"/>
        <v>0</v>
      </c>
      <c r="I44" s="45"/>
      <c r="J44" s="44"/>
      <c r="K44" s="75">
        <f t="shared" si="1"/>
        <v>0</v>
      </c>
      <c r="L44" s="59">
        <f t="shared" ref="L44:L48" si="9">(IF((H44+K44)&gt;0.375,0.0416666666666667,IF((H44+K44)&gt;0.25,0.0208333333333333,0)))</f>
        <v>0</v>
      </c>
      <c r="M44" s="46"/>
      <c r="N44" s="75"/>
      <c r="O44" s="59">
        <f t="shared" si="4"/>
        <v>0</v>
      </c>
    </row>
    <row r="45" spans="2:15" ht="21" customHeight="1" x14ac:dyDescent="0.25">
      <c r="B45" s="167">
        <v>42703</v>
      </c>
      <c r="C45" s="166">
        <f t="shared" si="5"/>
        <v>48</v>
      </c>
      <c r="D45" s="67">
        <v>29</v>
      </c>
      <c r="E45" s="43" t="s">
        <v>27</v>
      </c>
      <c r="F45" s="44"/>
      <c r="G45" s="44"/>
      <c r="H45" s="58">
        <f t="shared" si="0"/>
        <v>0</v>
      </c>
      <c r="I45" s="45"/>
      <c r="J45" s="44"/>
      <c r="K45" s="58">
        <f t="shared" si="1"/>
        <v>0</v>
      </c>
      <c r="L45" s="59">
        <f t="shared" si="9"/>
        <v>0</v>
      </c>
      <c r="M45" s="46"/>
      <c r="N45" s="58"/>
      <c r="O45" s="59">
        <f t="shared" si="4"/>
        <v>0</v>
      </c>
    </row>
    <row r="46" spans="2:15" ht="21" customHeight="1" x14ac:dyDescent="0.25">
      <c r="B46" s="167">
        <v>42704</v>
      </c>
      <c r="C46" s="166">
        <f t="shared" si="5"/>
        <v>48</v>
      </c>
      <c r="D46" s="67">
        <v>30</v>
      </c>
      <c r="E46" s="43" t="s">
        <v>28</v>
      </c>
      <c r="F46" s="44"/>
      <c r="G46" s="44"/>
      <c r="H46" s="58">
        <f t="shared" si="0"/>
        <v>0</v>
      </c>
      <c r="I46" s="45"/>
      <c r="J46" s="44"/>
      <c r="K46" s="58">
        <f t="shared" si="1"/>
        <v>0</v>
      </c>
      <c r="L46" s="59">
        <f t="shared" si="9"/>
        <v>0</v>
      </c>
      <c r="M46" s="46"/>
      <c r="N46" s="58"/>
      <c r="O46" s="59">
        <f t="shared" si="4"/>
        <v>0</v>
      </c>
    </row>
    <row r="47" spans="2:15" ht="21" customHeight="1" x14ac:dyDescent="0.25">
      <c r="B47" s="167"/>
      <c r="C47" s="166"/>
      <c r="D47" s="67"/>
      <c r="E47" s="43" t="s">
        <v>29</v>
      </c>
      <c r="F47" s="44"/>
      <c r="G47" s="44"/>
      <c r="H47" s="58">
        <f t="shared" si="0"/>
        <v>0</v>
      </c>
      <c r="I47" s="45"/>
      <c r="J47" s="44"/>
      <c r="K47" s="58">
        <f t="shared" si="1"/>
        <v>0</v>
      </c>
      <c r="L47" s="59">
        <f t="shared" si="9"/>
        <v>0</v>
      </c>
      <c r="M47" s="46"/>
      <c r="N47" s="58"/>
      <c r="O47" s="59">
        <f t="shared" si="4"/>
        <v>0</v>
      </c>
    </row>
    <row r="48" spans="2:15" ht="21" customHeight="1" thickBot="1" x14ac:dyDescent="0.3">
      <c r="B48" s="167"/>
      <c r="C48" s="168"/>
      <c r="D48" s="69"/>
      <c r="E48" s="70" t="s">
        <v>30</v>
      </c>
      <c r="F48" s="71"/>
      <c r="G48" s="71"/>
      <c r="H48" s="72">
        <f t="shared" si="0"/>
        <v>0</v>
      </c>
      <c r="I48" s="64"/>
      <c r="J48" s="71"/>
      <c r="K48" s="72">
        <f t="shared" si="1"/>
        <v>0</v>
      </c>
      <c r="L48" s="74">
        <f t="shared" si="9"/>
        <v>0</v>
      </c>
      <c r="M48" s="73"/>
      <c r="N48" s="72"/>
      <c r="O48" s="74">
        <f t="shared" si="4"/>
        <v>0</v>
      </c>
    </row>
    <row r="49" spans="2:15" ht="21" customHeight="1" x14ac:dyDescent="0.25">
      <c r="B49" s="167"/>
      <c r="C49" s="169"/>
      <c r="D49" s="76"/>
      <c r="E49" s="77" t="s">
        <v>31</v>
      </c>
      <c r="F49" s="182"/>
      <c r="G49" s="182"/>
      <c r="H49" s="79">
        <f t="shared" si="0"/>
        <v>0</v>
      </c>
      <c r="I49" s="183"/>
      <c r="J49" s="182"/>
      <c r="K49" s="79">
        <f t="shared" si="1"/>
        <v>0</v>
      </c>
      <c r="L49" s="184"/>
      <c r="M49" s="185"/>
      <c r="N49" s="79"/>
      <c r="O49" s="184">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44</v>
      </c>
      <c r="L55" s="153">
        <f>SUMIF(C16:C50,K55,O16:O50)</f>
        <v>0</v>
      </c>
      <c r="M55" s="154" t="str">
        <f>IF(L55=0,"",((($G$11-L55)*24)*-1)*60)</f>
        <v/>
      </c>
    </row>
    <row r="56" spans="2:15" s="155" customFormat="1" x14ac:dyDescent="0.25">
      <c r="C56" s="171"/>
      <c r="D56" s="173"/>
      <c r="K56" s="152">
        <v>45</v>
      </c>
      <c r="L56" s="153">
        <f t="shared" ref="L56:L59" si="10">SUMIF(C17:C51,K56,O17:O51)</f>
        <v>0</v>
      </c>
      <c r="M56" s="154" t="str">
        <f t="shared" ref="M56:M59" si="11">IF(L56=0,"",((($G$11-L56)*24)*-1)*60)</f>
        <v/>
      </c>
    </row>
    <row r="57" spans="2:15" s="155" customFormat="1" x14ac:dyDescent="0.25">
      <c r="C57" s="171"/>
      <c r="D57" s="173"/>
      <c r="K57" s="152">
        <v>46</v>
      </c>
      <c r="L57" s="153">
        <f t="shared" si="10"/>
        <v>0</v>
      </c>
      <c r="M57" s="154" t="str">
        <f t="shared" si="11"/>
        <v/>
      </c>
    </row>
    <row r="58" spans="2:15" s="155" customFormat="1" x14ac:dyDescent="0.25">
      <c r="C58" s="171"/>
      <c r="D58" s="173"/>
      <c r="K58" s="152">
        <v>47</v>
      </c>
      <c r="L58" s="153">
        <f t="shared" si="10"/>
        <v>0</v>
      </c>
      <c r="M58" s="154" t="str">
        <f t="shared" si="11"/>
        <v/>
      </c>
    </row>
    <row r="59" spans="2:15" s="155" customFormat="1" x14ac:dyDescent="0.25">
      <c r="C59" s="171"/>
      <c r="D59" s="173"/>
      <c r="J59" s="150" t="s">
        <v>60</v>
      </c>
      <c r="K59" s="152">
        <v>48</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vrsZWImQMxZqTFfKCJ2TFVoLF4e+oAR6BaDu7TnDlFjL7YMYvVHvCs8Tnbx1PiXTZyJR7/ExlGrDlFeXPbqQ5Q==" saltValue="kHQux+Zx2lGvIoVBfnxoT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2" priority="1" operator="lessThan">
      <formula>0</formula>
    </cfRule>
  </conditionalFormatting>
  <pageMargins left="0.5" right="0.5" top="0.75" bottom="0" header="0.5" footer="0"/>
  <pageSetup paperSize="9" scale="5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rgb="FF92D050"/>
    <pageSetUpPr fitToPage="1"/>
  </sheetPr>
  <dimension ref="B1:P68"/>
  <sheetViews>
    <sheetView showGridLines="0" showZeros="0" workbookViewId="0">
      <selection sqref="A1:A4"/>
    </sheetView>
  </sheetViews>
  <sheetFormatPr defaultColWidth="9.1796875" defaultRowHeight="12.5" x14ac:dyDescent="0.25"/>
  <cols>
    <col min="1" max="1" width="2.1796875" style="24" customWidth="1"/>
    <col min="2" max="2" width="10.1796875" style="24" hidden="1" customWidth="1"/>
    <col min="3" max="3" width="4.26953125" style="161" customWidth="1"/>
    <col min="4" max="4" width="4.26953125" style="65" customWidth="1"/>
    <col min="5" max="5" width="14.81640625" style="24" customWidth="1"/>
    <col min="6" max="12" width="12.453125" style="24" customWidth="1"/>
    <col min="13" max="13" width="13.453125" style="24" customWidth="1"/>
    <col min="14" max="14" width="13" style="24" customWidth="1"/>
    <col min="15" max="16" width="12.453125" style="24" customWidth="1"/>
    <col min="17" max="16384" width="9.1796875" style="24"/>
  </cols>
  <sheetData>
    <row r="1" spans="2:16" ht="34.5" customHeight="1" x14ac:dyDescent="0.35">
      <c r="O1" s="25" t="s">
        <v>25</v>
      </c>
    </row>
    <row r="2" spans="2:16" ht="15" customHeight="1" x14ac:dyDescent="0.5">
      <c r="P2" s="26"/>
    </row>
    <row r="3" spans="2:16" ht="28.5" customHeight="1" x14ac:dyDescent="0.25">
      <c r="E3" s="230" t="s">
        <v>1</v>
      </c>
      <c r="F3" s="230"/>
      <c r="G3" s="230"/>
      <c r="H3" s="230"/>
      <c r="I3" s="230"/>
      <c r="J3" s="230"/>
      <c r="K3" s="63"/>
    </row>
    <row r="4" spans="2:16" ht="14.25" customHeight="1" x14ac:dyDescent="0.25"/>
    <row r="5" spans="2:16" ht="17.149999999999999" customHeight="1" x14ac:dyDescent="0.25">
      <c r="E5" s="195" t="s">
        <v>2</v>
      </c>
      <c r="F5" s="195"/>
      <c r="G5" s="195"/>
      <c r="H5" s="61"/>
      <c r="L5" s="227" t="s">
        <v>14</v>
      </c>
      <c r="M5" s="227"/>
      <c r="N5" s="234" t="s">
        <v>69</v>
      </c>
      <c r="O5" s="234"/>
    </row>
    <row r="6" spans="2:16" ht="17.149999999999999" customHeight="1" x14ac:dyDescent="0.25">
      <c r="E6" s="195" t="s">
        <v>3</v>
      </c>
      <c r="F6" s="195"/>
      <c r="G6" s="195"/>
      <c r="H6" s="61"/>
      <c r="L6" s="29"/>
      <c r="M6" s="29"/>
      <c r="N6" s="30"/>
      <c r="O6" s="30"/>
    </row>
    <row r="7" spans="2:16" ht="17.149999999999999" customHeight="1" x14ac:dyDescent="0.25">
      <c r="E7" s="195"/>
      <c r="F7" s="195"/>
      <c r="G7" s="195"/>
      <c r="H7" s="61"/>
      <c r="L7" s="227" t="s">
        <v>23</v>
      </c>
      <c r="M7" s="227"/>
      <c r="N7" s="231" t="s">
        <v>82</v>
      </c>
      <c r="O7" s="231"/>
    </row>
    <row r="8" spans="2:16" ht="17.149999999999999" customHeight="1" x14ac:dyDescent="0.25">
      <c r="L8" s="227"/>
      <c r="M8" s="227"/>
      <c r="N8" s="228"/>
      <c r="O8" s="229"/>
    </row>
    <row r="9" spans="2:16" ht="17.149999999999999" customHeight="1" x14ac:dyDescent="0.25">
      <c r="L9" s="227" t="s">
        <v>24</v>
      </c>
      <c r="M9" s="227"/>
      <c r="N9" s="231" t="s">
        <v>83</v>
      </c>
      <c r="O9" s="231"/>
    </row>
    <row r="10" spans="2:16" ht="17.149999999999999" customHeight="1" x14ac:dyDescent="0.25">
      <c r="D10" s="66"/>
      <c r="E10" s="61" t="s">
        <v>15</v>
      </c>
      <c r="F10" s="31"/>
      <c r="G10" s="54">
        <v>2</v>
      </c>
      <c r="H10" s="33"/>
      <c r="L10" s="227"/>
      <c r="M10" s="227"/>
      <c r="N10" s="228"/>
      <c r="O10" s="229"/>
    </row>
    <row r="11" spans="2:16" ht="17.149999999999999" customHeight="1" x14ac:dyDescent="0.25">
      <c r="C11" s="162"/>
      <c r="E11" s="195" t="s">
        <v>16</v>
      </c>
      <c r="F11" s="195"/>
      <c r="G11" s="190">
        <v>0.41666666666666669</v>
      </c>
      <c r="H11" s="33"/>
      <c r="L11" s="62"/>
      <c r="M11" s="62"/>
      <c r="N11" s="35"/>
      <c r="O11" s="36"/>
    </row>
    <row r="12" spans="2:16" ht="17.149999999999999" customHeight="1" x14ac:dyDescent="0.25">
      <c r="D12" s="66"/>
      <c r="E12" s="61" t="s">
        <v>17</v>
      </c>
      <c r="F12" s="37"/>
      <c r="G12" s="56">
        <v>42552</v>
      </c>
      <c r="H12" s="38" t="s">
        <v>18</v>
      </c>
      <c r="I12" s="57">
        <v>42735</v>
      </c>
      <c r="L12" s="62"/>
      <c r="M12" s="62"/>
      <c r="N12" s="35"/>
      <c r="O12" s="36"/>
    </row>
    <row r="13" spans="2:16" ht="17.149999999999999" customHeight="1" x14ac:dyDescent="0.25">
      <c r="B13" s="163"/>
      <c r="C13" s="164"/>
      <c r="D13" s="66"/>
      <c r="E13" s="61" t="s">
        <v>19</v>
      </c>
      <c r="F13" s="37"/>
      <c r="G13" s="54">
        <v>4</v>
      </c>
      <c r="H13" s="39" t="s">
        <v>20</v>
      </c>
      <c r="I13" s="32"/>
      <c r="J13" s="38" t="s">
        <v>21</v>
      </c>
      <c r="K13" s="32">
        <f>M51</f>
        <v>0</v>
      </c>
      <c r="L13" s="38" t="s">
        <v>22</v>
      </c>
      <c r="M13" s="32">
        <f>G13-I13-K13</f>
        <v>4</v>
      </c>
      <c r="N13" s="35"/>
      <c r="O13" s="36"/>
    </row>
    <row r="14" spans="2:16" x14ac:dyDescent="0.25">
      <c r="C14" s="162"/>
    </row>
    <row r="15" spans="2:16" ht="21" customHeight="1" x14ac:dyDescent="0.25">
      <c r="C15" s="165" t="s">
        <v>57</v>
      </c>
      <c r="D15" s="225" t="s">
        <v>41</v>
      </c>
      <c r="E15" s="226"/>
      <c r="F15" s="40" t="s">
        <v>42</v>
      </c>
      <c r="G15" s="41" t="s">
        <v>43</v>
      </c>
      <c r="H15" s="41" t="s">
        <v>44</v>
      </c>
      <c r="I15" s="40" t="s">
        <v>42</v>
      </c>
      <c r="J15" s="41" t="s">
        <v>43</v>
      </c>
      <c r="K15" s="41" t="s">
        <v>45</v>
      </c>
      <c r="L15" s="41" t="s">
        <v>81</v>
      </c>
      <c r="M15" s="42" t="s">
        <v>46</v>
      </c>
      <c r="N15" s="41" t="s">
        <v>47</v>
      </c>
      <c r="O15" s="41" t="s">
        <v>48</v>
      </c>
    </row>
    <row r="16" spans="2:16" ht="21" customHeight="1" x14ac:dyDescent="0.25">
      <c r="C16" s="166"/>
      <c r="D16" s="67"/>
      <c r="E16" s="43" t="s">
        <v>26</v>
      </c>
      <c r="F16" s="44"/>
      <c r="G16" s="44"/>
      <c r="H16" s="58">
        <f t="shared" ref="H16:H50" si="0">G16-F16</f>
        <v>0</v>
      </c>
      <c r="I16" s="45"/>
      <c r="J16" s="44"/>
      <c r="K16" s="58">
        <f t="shared" ref="K16:K50" si="1">J16-I16</f>
        <v>0</v>
      </c>
      <c r="L16" s="59">
        <f>(IF((H16+K16)&gt;0.375,0.0416666666666667,IF((H16+K16)&gt;0.25,0.0208333333333333,0)))</f>
        <v>0</v>
      </c>
      <c r="M16" s="46"/>
      <c r="N16" s="58" t="str">
        <f>IF(M16="","",M16*($G$11/$G$10))</f>
        <v/>
      </c>
      <c r="O16" s="59">
        <f>IF((H16+K16-L16)&gt;0.416666666666666,"10h überschritten",(H16+K16-L16))</f>
        <v>0</v>
      </c>
    </row>
    <row r="17" spans="2:15" ht="21" customHeight="1" x14ac:dyDescent="0.25">
      <c r="C17" s="166"/>
      <c r="D17" s="67"/>
      <c r="E17" s="43" t="s">
        <v>27</v>
      </c>
      <c r="F17" s="44"/>
      <c r="G17" s="44"/>
      <c r="H17" s="58">
        <f t="shared" si="0"/>
        <v>0</v>
      </c>
      <c r="I17" s="45"/>
      <c r="J17" s="44"/>
      <c r="K17" s="58">
        <f t="shared" si="1"/>
        <v>0</v>
      </c>
      <c r="L17" s="59">
        <f t="shared" ref="L17:L20" si="2">(IF((H17+K17)&gt;0.375,0.0416666666666667,IF((H17+K17)&gt;0.25,0.0208333333333333,0)))</f>
        <v>0</v>
      </c>
      <c r="M17" s="46"/>
      <c r="N17" s="58" t="str">
        <f t="shared" ref="N17:N22" si="3">IF(M17="","",M17*($G$11/$G$10))</f>
        <v/>
      </c>
      <c r="O17" s="59">
        <f t="shared" ref="O17:O50" si="4">IF((H17+K17-L17)&gt;0.416666666666666,"10h überschritten",(H17+K17-L17))</f>
        <v>0</v>
      </c>
    </row>
    <row r="18" spans="2:15" ht="21" customHeight="1" x14ac:dyDescent="0.25">
      <c r="C18" s="166"/>
      <c r="D18" s="67"/>
      <c r="E18" s="43" t="s">
        <v>28</v>
      </c>
      <c r="F18" s="44"/>
      <c r="G18" s="44"/>
      <c r="H18" s="58">
        <f t="shared" si="0"/>
        <v>0</v>
      </c>
      <c r="I18" s="45"/>
      <c r="J18" s="44"/>
      <c r="K18" s="58">
        <f t="shared" si="1"/>
        <v>0</v>
      </c>
      <c r="L18" s="59">
        <f t="shared" si="2"/>
        <v>0</v>
      </c>
      <c r="M18" s="46"/>
      <c r="N18" s="58" t="str">
        <f t="shared" si="3"/>
        <v/>
      </c>
      <c r="O18" s="59">
        <f t="shared" si="4"/>
        <v>0</v>
      </c>
    </row>
    <row r="19" spans="2:15" ht="21" customHeight="1" x14ac:dyDescent="0.25">
      <c r="B19" s="167">
        <v>42705</v>
      </c>
      <c r="C19" s="166">
        <f>TRUNC((B19-DATE(YEAR(B19+3-MOD(B19-2,7)),1,MOD(B19-2,7)-9))/7)</f>
        <v>48</v>
      </c>
      <c r="D19" s="67">
        <v>1</v>
      </c>
      <c r="E19" s="43" t="s">
        <v>29</v>
      </c>
      <c r="F19" s="44"/>
      <c r="G19" s="44"/>
      <c r="H19" s="58">
        <f t="shared" si="0"/>
        <v>0</v>
      </c>
      <c r="I19" s="45"/>
      <c r="J19" s="44"/>
      <c r="K19" s="58">
        <f t="shared" si="1"/>
        <v>0</v>
      </c>
      <c r="L19" s="59">
        <f t="shared" si="2"/>
        <v>0</v>
      </c>
      <c r="M19" s="46"/>
      <c r="N19" s="58" t="str">
        <f t="shared" si="3"/>
        <v/>
      </c>
      <c r="O19" s="59">
        <f t="shared" si="4"/>
        <v>0</v>
      </c>
    </row>
    <row r="20" spans="2:15" ht="21" customHeight="1" thickBot="1" x14ac:dyDescent="0.3">
      <c r="B20" s="167">
        <v>42706</v>
      </c>
      <c r="C20" s="166">
        <f t="shared" ref="C20:C49" si="5">TRUNC((B20-DATE(YEAR(B20+3-MOD(B20-2,7)),1,MOD(B20-2,7)-9))/7)</f>
        <v>48</v>
      </c>
      <c r="D20" s="67">
        <v>2</v>
      </c>
      <c r="E20" s="70" t="s">
        <v>30</v>
      </c>
      <c r="F20" s="71"/>
      <c r="G20" s="71"/>
      <c r="H20" s="72">
        <f t="shared" si="0"/>
        <v>0</v>
      </c>
      <c r="I20" s="64"/>
      <c r="J20" s="71"/>
      <c r="K20" s="72">
        <f t="shared" si="1"/>
        <v>0</v>
      </c>
      <c r="L20" s="74">
        <f t="shared" si="2"/>
        <v>0</v>
      </c>
      <c r="M20" s="73"/>
      <c r="N20" s="72" t="str">
        <f t="shared" si="3"/>
        <v/>
      </c>
      <c r="O20" s="74">
        <f t="shared" si="4"/>
        <v>0</v>
      </c>
    </row>
    <row r="21" spans="2:15" ht="21" customHeight="1" x14ac:dyDescent="0.25">
      <c r="B21" s="167">
        <v>42707</v>
      </c>
      <c r="C21" s="166">
        <f t="shared" si="5"/>
        <v>48</v>
      </c>
      <c r="D21" s="67">
        <v>3</v>
      </c>
      <c r="E21" s="77" t="s">
        <v>31</v>
      </c>
      <c r="F21" s="182"/>
      <c r="G21" s="182"/>
      <c r="H21" s="79">
        <f t="shared" si="0"/>
        <v>0</v>
      </c>
      <c r="I21" s="183"/>
      <c r="J21" s="182"/>
      <c r="K21" s="79">
        <f t="shared" si="1"/>
        <v>0</v>
      </c>
      <c r="L21" s="184"/>
      <c r="M21" s="185"/>
      <c r="N21" s="79" t="str">
        <f t="shared" si="3"/>
        <v/>
      </c>
      <c r="O21" s="184">
        <f t="shared" si="4"/>
        <v>0</v>
      </c>
    </row>
    <row r="22" spans="2:15" ht="21" customHeight="1" thickBot="1" x14ac:dyDescent="0.3">
      <c r="B22" s="167">
        <v>42708</v>
      </c>
      <c r="C22" s="166">
        <f t="shared" si="5"/>
        <v>48</v>
      </c>
      <c r="D22" s="67">
        <v>4</v>
      </c>
      <c r="E22" s="84" t="s">
        <v>32</v>
      </c>
      <c r="F22" s="186"/>
      <c r="G22" s="186"/>
      <c r="H22" s="86">
        <f t="shared" si="0"/>
        <v>0</v>
      </c>
      <c r="I22" s="187"/>
      <c r="J22" s="186"/>
      <c r="K22" s="86">
        <f t="shared" si="1"/>
        <v>0</v>
      </c>
      <c r="L22" s="188"/>
      <c r="M22" s="189"/>
      <c r="N22" s="86" t="str">
        <f t="shared" si="3"/>
        <v/>
      </c>
      <c r="O22" s="188">
        <f t="shared" si="4"/>
        <v>0</v>
      </c>
    </row>
    <row r="23" spans="2:15" ht="21" customHeight="1" x14ac:dyDescent="0.25">
      <c r="B23" s="167">
        <v>42709</v>
      </c>
      <c r="C23" s="166">
        <f t="shared" si="5"/>
        <v>49</v>
      </c>
      <c r="D23" s="67">
        <v>5</v>
      </c>
      <c r="E23" s="43" t="s">
        <v>26</v>
      </c>
      <c r="F23" s="44"/>
      <c r="G23" s="44"/>
      <c r="H23" s="75">
        <f t="shared" si="0"/>
        <v>0</v>
      </c>
      <c r="I23" s="45"/>
      <c r="J23" s="44"/>
      <c r="K23" s="75">
        <f t="shared" si="1"/>
        <v>0</v>
      </c>
      <c r="L23" s="59">
        <f t="shared" ref="L23:L27" si="6">(IF((H23+K23)&gt;0.375,0.0416666666666667,IF((H23+K23)&gt;0.25,0.0208333333333333,0)))</f>
        <v>0</v>
      </c>
      <c r="M23" s="46"/>
      <c r="N23" s="75" t="str">
        <f>IF(M23="","",M23*($G$11/$G$10))</f>
        <v/>
      </c>
      <c r="O23" s="59">
        <f t="shared" si="4"/>
        <v>0</v>
      </c>
    </row>
    <row r="24" spans="2:15" ht="21" customHeight="1" x14ac:dyDescent="0.25">
      <c r="B24" s="167">
        <v>42710</v>
      </c>
      <c r="C24" s="166">
        <f t="shared" si="5"/>
        <v>49</v>
      </c>
      <c r="D24" s="67">
        <v>6</v>
      </c>
      <c r="E24" s="43" t="s">
        <v>27</v>
      </c>
      <c r="F24" s="44"/>
      <c r="G24" s="44"/>
      <c r="H24" s="58">
        <f t="shared" si="0"/>
        <v>0</v>
      </c>
      <c r="I24" s="45"/>
      <c r="J24" s="44"/>
      <c r="K24" s="58">
        <f t="shared" si="1"/>
        <v>0</v>
      </c>
      <c r="L24" s="59">
        <f t="shared" si="6"/>
        <v>0</v>
      </c>
      <c r="M24" s="46"/>
      <c r="N24" s="58" t="str">
        <f>IF(M24="","",M24*($G$11/$G$10))</f>
        <v/>
      </c>
      <c r="O24" s="59">
        <f t="shared" si="4"/>
        <v>0</v>
      </c>
    </row>
    <row r="25" spans="2:15" ht="21" customHeight="1" x14ac:dyDescent="0.25">
      <c r="B25" s="167">
        <v>42711</v>
      </c>
      <c r="C25" s="166">
        <f t="shared" si="5"/>
        <v>49</v>
      </c>
      <c r="D25" s="67">
        <v>7</v>
      </c>
      <c r="E25" s="43" t="s">
        <v>28</v>
      </c>
      <c r="F25" s="44"/>
      <c r="G25" s="44"/>
      <c r="H25" s="107">
        <f t="shared" si="0"/>
        <v>0</v>
      </c>
      <c r="I25" s="45"/>
      <c r="J25" s="44"/>
      <c r="K25" s="58">
        <f t="shared" si="1"/>
        <v>0</v>
      </c>
      <c r="L25" s="59">
        <f t="shared" si="6"/>
        <v>0</v>
      </c>
      <c r="M25" s="46"/>
      <c r="N25" s="58"/>
      <c r="O25" s="59">
        <f t="shared" si="4"/>
        <v>0</v>
      </c>
    </row>
    <row r="26" spans="2:15" ht="21" customHeight="1" x14ac:dyDescent="0.25">
      <c r="B26" s="167">
        <v>42712</v>
      </c>
      <c r="C26" s="166">
        <f t="shared" si="5"/>
        <v>49</v>
      </c>
      <c r="D26" s="67">
        <v>8</v>
      </c>
      <c r="E26" s="43" t="s">
        <v>29</v>
      </c>
      <c r="F26" s="44"/>
      <c r="G26" s="44"/>
      <c r="H26" s="58">
        <f t="shared" si="0"/>
        <v>0</v>
      </c>
      <c r="I26" s="45"/>
      <c r="J26" s="44"/>
      <c r="K26" s="58">
        <f t="shared" si="1"/>
        <v>0</v>
      </c>
      <c r="L26" s="59">
        <f t="shared" si="6"/>
        <v>0</v>
      </c>
      <c r="M26" s="46"/>
      <c r="N26" s="58"/>
      <c r="O26" s="59">
        <f t="shared" si="4"/>
        <v>0</v>
      </c>
    </row>
    <row r="27" spans="2:15" ht="21" customHeight="1" thickBot="1" x14ac:dyDescent="0.3">
      <c r="B27" s="167">
        <v>42713</v>
      </c>
      <c r="C27" s="166">
        <f t="shared" si="5"/>
        <v>49</v>
      </c>
      <c r="D27" s="67">
        <v>9</v>
      </c>
      <c r="E27" s="70" t="s">
        <v>30</v>
      </c>
      <c r="F27" s="71"/>
      <c r="G27" s="71"/>
      <c r="H27" s="72">
        <f t="shared" si="0"/>
        <v>0</v>
      </c>
      <c r="I27" s="64"/>
      <c r="J27" s="71"/>
      <c r="K27" s="72">
        <f t="shared" si="1"/>
        <v>0</v>
      </c>
      <c r="L27" s="74">
        <f t="shared" si="6"/>
        <v>0</v>
      </c>
      <c r="M27" s="73"/>
      <c r="N27" s="72"/>
      <c r="O27" s="74">
        <f t="shared" si="4"/>
        <v>0</v>
      </c>
    </row>
    <row r="28" spans="2:15" ht="21" customHeight="1" x14ac:dyDescent="0.25">
      <c r="B28" s="167">
        <v>42714</v>
      </c>
      <c r="C28" s="166">
        <f t="shared" si="5"/>
        <v>49</v>
      </c>
      <c r="D28" s="67">
        <v>10</v>
      </c>
      <c r="E28" s="77" t="s">
        <v>31</v>
      </c>
      <c r="F28" s="182"/>
      <c r="G28" s="182"/>
      <c r="H28" s="79">
        <f t="shared" si="0"/>
        <v>0</v>
      </c>
      <c r="I28" s="183"/>
      <c r="J28" s="182"/>
      <c r="K28" s="79">
        <f t="shared" si="1"/>
        <v>0</v>
      </c>
      <c r="L28" s="184"/>
      <c r="M28" s="185"/>
      <c r="N28" s="79"/>
      <c r="O28" s="184">
        <f t="shared" si="4"/>
        <v>0</v>
      </c>
    </row>
    <row r="29" spans="2:15" ht="21" customHeight="1" thickBot="1" x14ac:dyDescent="0.3">
      <c r="B29" s="167">
        <v>42715</v>
      </c>
      <c r="C29" s="166">
        <f t="shared" si="5"/>
        <v>49</v>
      </c>
      <c r="D29" s="67">
        <v>11</v>
      </c>
      <c r="E29" s="84" t="s">
        <v>32</v>
      </c>
      <c r="F29" s="186"/>
      <c r="G29" s="186"/>
      <c r="H29" s="86">
        <f t="shared" si="0"/>
        <v>0</v>
      </c>
      <c r="I29" s="187"/>
      <c r="J29" s="186"/>
      <c r="K29" s="86">
        <f t="shared" si="1"/>
        <v>0</v>
      </c>
      <c r="L29" s="188"/>
      <c r="M29" s="189"/>
      <c r="N29" s="86"/>
      <c r="O29" s="188">
        <f t="shared" si="4"/>
        <v>0</v>
      </c>
    </row>
    <row r="30" spans="2:15" ht="21" customHeight="1" x14ac:dyDescent="0.25">
      <c r="B30" s="167">
        <v>42716</v>
      </c>
      <c r="C30" s="166">
        <f t="shared" si="5"/>
        <v>50</v>
      </c>
      <c r="D30" s="67">
        <v>12</v>
      </c>
      <c r="E30" s="43" t="s">
        <v>26</v>
      </c>
      <c r="F30" s="44"/>
      <c r="G30" s="44"/>
      <c r="H30" s="75">
        <f t="shared" si="0"/>
        <v>0</v>
      </c>
      <c r="I30" s="45"/>
      <c r="J30" s="44"/>
      <c r="K30" s="75">
        <f t="shared" si="1"/>
        <v>0</v>
      </c>
      <c r="L30" s="59">
        <f t="shared" ref="L30:L34" si="7">(IF((H30+K30)&gt;0.375,0.0416666666666667,IF((H30+K30)&gt;0.25,0.0208333333333333,0)))</f>
        <v>0</v>
      </c>
      <c r="M30" s="46"/>
      <c r="N30" s="75"/>
      <c r="O30" s="59">
        <f t="shared" si="4"/>
        <v>0</v>
      </c>
    </row>
    <row r="31" spans="2:15" ht="21" customHeight="1" x14ac:dyDescent="0.25">
      <c r="B31" s="167">
        <v>42717</v>
      </c>
      <c r="C31" s="166">
        <f t="shared" si="5"/>
        <v>50</v>
      </c>
      <c r="D31" s="67">
        <v>13</v>
      </c>
      <c r="E31" s="43" t="s">
        <v>27</v>
      </c>
      <c r="F31" s="44"/>
      <c r="G31" s="44"/>
      <c r="H31" s="58">
        <f t="shared" si="0"/>
        <v>0</v>
      </c>
      <c r="I31" s="45"/>
      <c r="J31" s="44"/>
      <c r="K31" s="58">
        <f t="shared" si="1"/>
        <v>0</v>
      </c>
      <c r="L31" s="59">
        <f t="shared" si="7"/>
        <v>0</v>
      </c>
      <c r="M31" s="46"/>
      <c r="N31" s="58"/>
      <c r="O31" s="59">
        <f t="shared" si="4"/>
        <v>0</v>
      </c>
    </row>
    <row r="32" spans="2:15" ht="21" customHeight="1" x14ac:dyDescent="0.25">
      <c r="B32" s="167">
        <v>42718</v>
      </c>
      <c r="C32" s="166">
        <f t="shared" si="5"/>
        <v>50</v>
      </c>
      <c r="D32" s="67">
        <v>14</v>
      </c>
      <c r="E32" s="43" t="s">
        <v>28</v>
      </c>
      <c r="F32" s="44"/>
      <c r="G32" s="44"/>
      <c r="H32" s="58">
        <f t="shared" si="0"/>
        <v>0</v>
      </c>
      <c r="I32" s="45"/>
      <c r="J32" s="44"/>
      <c r="K32" s="58">
        <f t="shared" si="1"/>
        <v>0</v>
      </c>
      <c r="L32" s="59">
        <f t="shared" si="7"/>
        <v>0</v>
      </c>
      <c r="M32" s="46"/>
      <c r="N32" s="58"/>
      <c r="O32" s="59">
        <f t="shared" si="4"/>
        <v>0</v>
      </c>
    </row>
    <row r="33" spans="2:15" ht="21" customHeight="1" x14ac:dyDescent="0.25">
      <c r="B33" s="167">
        <v>42719</v>
      </c>
      <c r="C33" s="166">
        <f t="shared" si="5"/>
        <v>50</v>
      </c>
      <c r="D33" s="67">
        <v>15</v>
      </c>
      <c r="E33" s="43" t="s">
        <v>29</v>
      </c>
      <c r="F33" s="44"/>
      <c r="G33" s="44"/>
      <c r="H33" s="58">
        <f t="shared" si="0"/>
        <v>0</v>
      </c>
      <c r="I33" s="45"/>
      <c r="J33" s="44"/>
      <c r="K33" s="58">
        <f t="shared" si="1"/>
        <v>0</v>
      </c>
      <c r="L33" s="59">
        <f t="shared" si="7"/>
        <v>0</v>
      </c>
      <c r="M33" s="46"/>
      <c r="N33" s="58"/>
      <c r="O33" s="59">
        <f t="shared" si="4"/>
        <v>0</v>
      </c>
    </row>
    <row r="34" spans="2:15" ht="21" customHeight="1" thickBot="1" x14ac:dyDescent="0.3">
      <c r="B34" s="167">
        <v>42720</v>
      </c>
      <c r="C34" s="166">
        <f t="shared" si="5"/>
        <v>50</v>
      </c>
      <c r="D34" s="67">
        <v>16</v>
      </c>
      <c r="E34" s="70" t="s">
        <v>30</v>
      </c>
      <c r="F34" s="71"/>
      <c r="G34" s="71"/>
      <c r="H34" s="72">
        <f t="shared" si="0"/>
        <v>0</v>
      </c>
      <c r="I34" s="64"/>
      <c r="J34" s="71"/>
      <c r="K34" s="72">
        <f t="shared" si="1"/>
        <v>0</v>
      </c>
      <c r="L34" s="74">
        <f t="shared" si="7"/>
        <v>0</v>
      </c>
      <c r="M34" s="73"/>
      <c r="N34" s="72"/>
      <c r="O34" s="74">
        <f t="shared" si="4"/>
        <v>0</v>
      </c>
    </row>
    <row r="35" spans="2:15" ht="21" customHeight="1" x14ac:dyDescent="0.25">
      <c r="B35" s="167">
        <v>42721</v>
      </c>
      <c r="C35" s="166">
        <f t="shared" si="5"/>
        <v>50</v>
      </c>
      <c r="D35" s="67">
        <v>17</v>
      </c>
      <c r="E35" s="77" t="s">
        <v>31</v>
      </c>
      <c r="F35" s="182"/>
      <c r="G35" s="182"/>
      <c r="H35" s="79">
        <f t="shared" si="0"/>
        <v>0</v>
      </c>
      <c r="I35" s="183"/>
      <c r="J35" s="182"/>
      <c r="K35" s="79">
        <f t="shared" si="1"/>
        <v>0</v>
      </c>
      <c r="L35" s="184"/>
      <c r="M35" s="185"/>
      <c r="N35" s="79"/>
      <c r="O35" s="184">
        <f t="shared" si="4"/>
        <v>0</v>
      </c>
    </row>
    <row r="36" spans="2:15" ht="21" customHeight="1" thickBot="1" x14ac:dyDescent="0.3">
      <c r="B36" s="167">
        <v>42722</v>
      </c>
      <c r="C36" s="166">
        <f t="shared" si="5"/>
        <v>50</v>
      </c>
      <c r="D36" s="67">
        <v>18</v>
      </c>
      <c r="E36" s="84" t="s">
        <v>32</v>
      </c>
      <c r="F36" s="186"/>
      <c r="G36" s="186"/>
      <c r="H36" s="86">
        <f t="shared" si="0"/>
        <v>0</v>
      </c>
      <c r="I36" s="187"/>
      <c r="J36" s="186"/>
      <c r="K36" s="86">
        <f t="shared" si="1"/>
        <v>0</v>
      </c>
      <c r="L36" s="188"/>
      <c r="M36" s="189"/>
      <c r="N36" s="86"/>
      <c r="O36" s="188">
        <f t="shared" si="4"/>
        <v>0</v>
      </c>
    </row>
    <row r="37" spans="2:15" ht="21" customHeight="1" x14ac:dyDescent="0.25">
      <c r="B37" s="167">
        <v>42723</v>
      </c>
      <c r="C37" s="166">
        <f t="shared" si="5"/>
        <v>51</v>
      </c>
      <c r="D37" s="67">
        <v>19</v>
      </c>
      <c r="E37" s="43" t="s">
        <v>26</v>
      </c>
      <c r="F37" s="44"/>
      <c r="G37" s="44"/>
      <c r="H37" s="75">
        <f t="shared" si="0"/>
        <v>0</v>
      </c>
      <c r="I37" s="45"/>
      <c r="J37" s="44"/>
      <c r="K37" s="75">
        <f t="shared" si="1"/>
        <v>0</v>
      </c>
      <c r="L37" s="59">
        <f t="shared" ref="L37:L41" si="8">(IF((H37+K37)&gt;0.375,0.0416666666666667,IF((H37+K37)&gt;0.25,0.0208333333333333,0)))</f>
        <v>0</v>
      </c>
      <c r="M37" s="46"/>
      <c r="N37" s="75"/>
      <c r="O37" s="59">
        <f t="shared" si="4"/>
        <v>0</v>
      </c>
    </row>
    <row r="38" spans="2:15" ht="21" customHeight="1" x14ac:dyDescent="0.25">
      <c r="B38" s="167">
        <v>42724</v>
      </c>
      <c r="C38" s="166">
        <f t="shared" si="5"/>
        <v>51</v>
      </c>
      <c r="D38" s="67">
        <v>20</v>
      </c>
      <c r="E38" s="43" t="s">
        <v>27</v>
      </c>
      <c r="F38" s="44"/>
      <c r="G38" s="44"/>
      <c r="H38" s="58">
        <f t="shared" si="0"/>
        <v>0</v>
      </c>
      <c r="I38" s="45"/>
      <c r="J38" s="44"/>
      <c r="K38" s="58">
        <f t="shared" si="1"/>
        <v>0</v>
      </c>
      <c r="L38" s="59">
        <f t="shared" si="8"/>
        <v>0</v>
      </c>
      <c r="M38" s="46"/>
      <c r="N38" s="58"/>
      <c r="O38" s="59">
        <f t="shared" si="4"/>
        <v>0</v>
      </c>
    </row>
    <row r="39" spans="2:15" ht="21" customHeight="1" x14ac:dyDescent="0.25">
      <c r="B39" s="167">
        <v>42725</v>
      </c>
      <c r="C39" s="166">
        <f t="shared" si="5"/>
        <v>51</v>
      </c>
      <c r="D39" s="67">
        <v>21</v>
      </c>
      <c r="E39" s="43" t="s">
        <v>28</v>
      </c>
      <c r="F39" s="44"/>
      <c r="G39" s="44"/>
      <c r="H39" s="58">
        <f t="shared" si="0"/>
        <v>0</v>
      </c>
      <c r="I39" s="45"/>
      <c r="J39" s="44"/>
      <c r="K39" s="58">
        <f t="shared" si="1"/>
        <v>0</v>
      </c>
      <c r="L39" s="59">
        <f t="shared" si="8"/>
        <v>0</v>
      </c>
      <c r="M39" s="46"/>
      <c r="N39" s="58"/>
      <c r="O39" s="59">
        <f t="shared" si="4"/>
        <v>0</v>
      </c>
    </row>
    <row r="40" spans="2:15" ht="21" customHeight="1" x14ac:dyDescent="0.25">
      <c r="B40" s="167">
        <v>42726</v>
      </c>
      <c r="C40" s="166">
        <f t="shared" si="5"/>
        <v>51</v>
      </c>
      <c r="D40" s="67">
        <v>22</v>
      </c>
      <c r="E40" s="43" t="s">
        <v>29</v>
      </c>
      <c r="F40" s="44"/>
      <c r="G40" s="44"/>
      <c r="H40" s="58">
        <f t="shared" si="0"/>
        <v>0</v>
      </c>
      <c r="I40" s="45"/>
      <c r="J40" s="44"/>
      <c r="K40" s="58">
        <f t="shared" si="1"/>
        <v>0</v>
      </c>
      <c r="L40" s="59">
        <f t="shared" si="8"/>
        <v>0</v>
      </c>
      <c r="M40" s="46"/>
      <c r="N40" s="58"/>
      <c r="O40" s="59">
        <f t="shared" si="4"/>
        <v>0</v>
      </c>
    </row>
    <row r="41" spans="2:15" ht="21" customHeight="1" thickBot="1" x14ac:dyDescent="0.3">
      <c r="B41" s="167">
        <v>42727</v>
      </c>
      <c r="C41" s="166">
        <f t="shared" si="5"/>
        <v>51</v>
      </c>
      <c r="D41" s="67">
        <v>23</v>
      </c>
      <c r="E41" s="70" t="s">
        <v>30</v>
      </c>
      <c r="F41" s="71"/>
      <c r="G41" s="71"/>
      <c r="H41" s="72">
        <f t="shared" si="0"/>
        <v>0</v>
      </c>
      <c r="I41" s="64"/>
      <c r="J41" s="71"/>
      <c r="K41" s="72">
        <f t="shared" si="1"/>
        <v>0</v>
      </c>
      <c r="L41" s="74">
        <f t="shared" si="8"/>
        <v>0</v>
      </c>
      <c r="M41" s="73"/>
      <c r="N41" s="72"/>
      <c r="O41" s="74">
        <f t="shared" si="4"/>
        <v>0</v>
      </c>
    </row>
    <row r="42" spans="2:15" ht="21" customHeight="1" x14ac:dyDescent="0.25">
      <c r="B42" s="167">
        <v>42728</v>
      </c>
      <c r="C42" s="166">
        <f t="shared" si="5"/>
        <v>51</v>
      </c>
      <c r="D42" s="67">
        <v>24</v>
      </c>
      <c r="E42" s="77" t="s">
        <v>31</v>
      </c>
      <c r="F42" s="174"/>
      <c r="G42" s="174"/>
      <c r="H42" s="101">
        <f t="shared" si="0"/>
        <v>0</v>
      </c>
      <c r="I42" s="175"/>
      <c r="J42" s="174"/>
      <c r="K42" s="101">
        <f t="shared" si="1"/>
        <v>0</v>
      </c>
      <c r="L42" s="176"/>
      <c r="M42" s="177"/>
      <c r="N42" s="101"/>
      <c r="O42" s="176">
        <f t="shared" si="4"/>
        <v>0</v>
      </c>
    </row>
    <row r="43" spans="2:15" ht="21" customHeight="1" thickBot="1" x14ac:dyDescent="0.3">
      <c r="B43" s="167">
        <v>42729</v>
      </c>
      <c r="C43" s="166">
        <f t="shared" si="5"/>
        <v>51</v>
      </c>
      <c r="D43" s="67">
        <v>25</v>
      </c>
      <c r="E43" s="84" t="s">
        <v>32</v>
      </c>
      <c r="F43" s="178"/>
      <c r="G43" s="178"/>
      <c r="H43" s="105">
        <f t="shared" si="0"/>
        <v>0</v>
      </c>
      <c r="I43" s="179"/>
      <c r="J43" s="178"/>
      <c r="K43" s="105">
        <f t="shared" si="1"/>
        <v>0</v>
      </c>
      <c r="L43" s="180"/>
      <c r="M43" s="181"/>
      <c r="N43" s="105"/>
      <c r="O43" s="180">
        <f t="shared" si="4"/>
        <v>0</v>
      </c>
    </row>
    <row r="44" spans="2:15" ht="21" customHeight="1" x14ac:dyDescent="0.25">
      <c r="B44" s="167">
        <v>42730</v>
      </c>
      <c r="C44" s="166">
        <f t="shared" si="5"/>
        <v>52</v>
      </c>
      <c r="D44" s="67">
        <v>26</v>
      </c>
      <c r="E44" s="43" t="s">
        <v>26</v>
      </c>
      <c r="F44" s="90"/>
      <c r="G44" s="90"/>
      <c r="H44" s="106">
        <f t="shared" si="0"/>
        <v>0</v>
      </c>
      <c r="I44" s="92"/>
      <c r="J44" s="90"/>
      <c r="K44" s="106">
        <f t="shared" si="1"/>
        <v>0</v>
      </c>
      <c r="L44" s="94">
        <f t="shared" ref="L44:L48" si="9">(IF((H44+K44)&gt;0.375,0.0416666666666667,IF((H44+K44)&gt;0.25,0.0208333333333333,0)))</f>
        <v>0</v>
      </c>
      <c r="M44" s="93"/>
      <c r="N44" s="106"/>
      <c r="O44" s="94">
        <f t="shared" si="4"/>
        <v>0</v>
      </c>
    </row>
    <row r="45" spans="2:15" ht="21" customHeight="1" x14ac:dyDescent="0.25">
      <c r="B45" s="167">
        <v>42731</v>
      </c>
      <c r="C45" s="166">
        <f t="shared" si="5"/>
        <v>52</v>
      </c>
      <c r="D45" s="67">
        <v>27</v>
      </c>
      <c r="E45" s="43" t="s">
        <v>27</v>
      </c>
      <c r="F45" s="90"/>
      <c r="G45" s="90"/>
      <c r="H45" s="91">
        <f t="shared" si="0"/>
        <v>0</v>
      </c>
      <c r="I45" s="92"/>
      <c r="J45" s="90"/>
      <c r="K45" s="91">
        <f t="shared" si="1"/>
        <v>0</v>
      </c>
      <c r="L45" s="94">
        <f t="shared" si="9"/>
        <v>0</v>
      </c>
      <c r="M45" s="93"/>
      <c r="N45" s="91"/>
      <c r="O45" s="94">
        <f t="shared" si="4"/>
        <v>0</v>
      </c>
    </row>
    <row r="46" spans="2:15" ht="21" customHeight="1" x14ac:dyDescent="0.25">
      <c r="B46" s="167">
        <v>42732</v>
      </c>
      <c r="C46" s="166">
        <f t="shared" si="5"/>
        <v>52</v>
      </c>
      <c r="D46" s="67">
        <v>28</v>
      </c>
      <c r="E46" s="43" t="s">
        <v>28</v>
      </c>
      <c r="F46" s="90"/>
      <c r="G46" s="90"/>
      <c r="H46" s="91">
        <f t="shared" si="0"/>
        <v>0</v>
      </c>
      <c r="I46" s="92"/>
      <c r="J46" s="90"/>
      <c r="K46" s="91">
        <f t="shared" si="1"/>
        <v>0</v>
      </c>
      <c r="L46" s="94">
        <f t="shared" si="9"/>
        <v>0</v>
      </c>
      <c r="M46" s="93"/>
      <c r="N46" s="91"/>
      <c r="O46" s="94">
        <f t="shared" si="4"/>
        <v>0</v>
      </c>
    </row>
    <row r="47" spans="2:15" ht="21" customHeight="1" x14ac:dyDescent="0.25">
      <c r="B47" s="167">
        <v>42733</v>
      </c>
      <c r="C47" s="166">
        <f t="shared" si="5"/>
        <v>52</v>
      </c>
      <c r="D47" s="67">
        <v>29</v>
      </c>
      <c r="E47" s="43" t="s">
        <v>29</v>
      </c>
      <c r="F47" s="90"/>
      <c r="G47" s="90"/>
      <c r="H47" s="91">
        <f t="shared" si="0"/>
        <v>0</v>
      </c>
      <c r="I47" s="92"/>
      <c r="J47" s="90"/>
      <c r="K47" s="91">
        <f t="shared" si="1"/>
        <v>0</v>
      </c>
      <c r="L47" s="94">
        <f t="shared" si="9"/>
        <v>0</v>
      </c>
      <c r="M47" s="93"/>
      <c r="N47" s="91"/>
      <c r="O47" s="94">
        <f t="shared" si="4"/>
        <v>0</v>
      </c>
    </row>
    <row r="48" spans="2:15" ht="21" customHeight="1" thickBot="1" x14ac:dyDescent="0.3">
      <c r="B48" s="167">
        <v>42734</v>
      </c>
      <c r="C48" s="166">
        <f t="shared" si="5"/>
        <v>52</v>
      </c>
      <c r="D48" s="67">
        <v>30</v>
      </c>
      <c r="E48" s="70" t="s">
        <v>30</v>
      </c>
      <c r="F48" s="95"/>
      <c r="G48" s="95"/>
      <c r="H48" s="96">
        <f t="shared" si="0"/>
        <v>0</v>
      </c>
      <c r="I48" s="97"/>
      <c r="J48" s="95"/>
      <c r="K48" s="96">
        <f t="shared" si="1"/>
        <v>0</v>
      </c>
      <c r="L48" s="99">
        <f t="shared" si="9"/>
        <v>0</v>
      </c>
      <c r="M48" s="98"/>
      <c r="N48" s="96"/>
      <c r="O48" s="99">
        <f t="shared" si="4"/>
        <v>0</v>
      </c>
    </row>
    <row r="49" spans="2:15" ht="21" customHeight="1" x14ac:dyDescent="0.25">
      <c r="B49" s="167">
        <v>42735</v>
      </c>
      <c r="C49" s="166">
        <f t="shared" si="5"/>
        <v>52</v>
      </c>
      <c r="D49" s="67">
        <v>31</v>
      </c>
      <c r="E49" s="77" t="s">
        <v>31</v>
      </c>
      <c r="F49" s="174"/>
      <c r="G49" s="174"/>
      <c r="H49" s="101">
        <f t="shared" si="0"/>
        <v>0</v>
      </c>
      <c r="I49" s="175"/>
      <c r="J49" s="174"/>
      <c r="K49" s="101">
        <f t="shared" si="1"/>
        <v>0</v>
      </c>
      <c r="L49" s="176"/>
      <c r="M49" s="177"/>
      <c r="N49" s="101"/>
      <c r="O49" s="176">
        <f t="shared" si="4"/>
        <v>0</v>
      </c>
    </row>
    <row r="50" spans="2:15" ht="21" customHeight="1" thickBot="1" x14ac:dyDescent="0.3">
      <c r="B50" s="167"/>
      <c r="C50" s="170"/>
      <c r="D50" s="83"/>
      <c r="E50" s="84" t="s">
        <v>32</v>
      </c>
      <c r="F50" s="186"/>
      <c r="G50" s="186"/>
      <c r="H50" s="86">
        <f t="shared" si="0"/>
        <v>0</v>
      </c>
      <c r="I50" s="187"/>
      <c r="J50" s="186"/>
      <c r="K50" s="86">
        <f t="shared" si="1"/>
        <v>0</v>
      </c>
      <c r="L50" s="188"/>
      <c r="M50" s="189"/>
      <c r="N50" s="86" t="str">
        <f>IF(M50="","",M50*($G$11/$G$10))</f>
        <v/>
      </c>
      <c r="O50" s="188">
        <f t="shared" si="4"/>
        <v>0</v>
      </c>
    </row>
    <row r="51" spans="2:15" ht="21" customHeight="1" x14ac:dyDescent="0.25">
      <c r="L51" s="43" t="s">
        <v>49</v>
      </c>
      <c r="M51" s="60">
        <f>SUM(M16:M50)</f>
        <v>0</v>
      </c>
      <c r="N51" s="59">
        <f>SUM(N16:N50)</f>
        <v>0</v>
      </c>
      <c r="O51" s="59">
        <f>SUM(O16:O50)</f>
        <v>0</v>
      </c>
    </row>
    <row r="52" spans="2:15" ht="21" customHeight="1" x14ac:dyDescent="0.25">
      <c r="N52" s="43" t="s">
        <v>7</v>
      </c>
      <c r="O52" s="59">
        <f>O51+N51</f>
        <v>0</v>
      </c>
    </row>
    <row r="53" spans="2:15" x14ac:dyDescent="0.25">
      <c r="B53" s="155"/>
      <c r="C53" s="171"/>
    </row>
    <row r="54" spans="2:15" s="155" customFormat="1" x14ac:dyDescent="0.25">
      <c r="C54" s="171"/>
      <c r="D54" s="173"/>
      <c r="J54" s="150" t="s">
        <v>76</v>
      </c>
      <c r="K54" s="151" t="s">
        <v>61</v>
      </c>
      <c r="L54" s="151" t="s">
        <v>62</v>
      </c>
      <c r="M54" s="151" t="s">
        <v>63</v>
      </c>
    </row>
    <row r="55" spans="2:15" s="155" customFormat="1" x14ac:dyDescent="0.25">
      <c r="C55" s="171"/>
      <c r="D55" s="173"/>
      <c r="J55" s="150" t="s">
        <v>59</v>
      </c>
      <c r="K55" s="152">
        <v>48</v>
      </c>
      <c r="L55" s="153">
        <f>SUMIF(C16:C50,K55,O16:O50)</f>
        <v>0</v>
      </c>
      <c r="M55" s="154" t="str">
        <f>IF(L55=0,"",((($G$11-L55)*24)*-1)*60)</f>
        <v/>
      </c>
    </row>
    <row r="56" spans="2:15" s="155" customFormat="1" x14ac:dyDescent="0.25">
      <c r="C56" s="171"/>
      <c r="D56" s="173"/>
      <c r="K56" s="152">
        <v>49</v>
      </c>
      <c r="L56" s="153">
        <f t="shared" ref="L56:L59" si="10">SUMIF(C17:C51,K56,O17:O51)</f>
        <v>0</v>
      </c>
      <c r="M56" s="154" t="str">
        <f t="shared" ref="M56:M59" si="11">IF(L56=0,"",((($G$11-L56)*24)*-1)*60)</f>
        <v/>
      </c>
    </row>
    <row r="57" spans="2:15" s="155" customFormat="1" x14ac:dyDescent="0.25">
      <c r="C57" s="171"/>
      <c r="D57" s="173"/>
      <c r="K57" s="152">
        <v>50</v>
      </c>
      <c r="L57" s="153">
        <f t="shared" si="10"/>
        <v>0</v>
      </c>
      <c r="M57" s="154" t="str">
        <f t="shared" si="11"/>
        <v/>
      </c>
    </row>
    <row r="58" spans="2:15" s="155" customFormat="1" x14ac:dyDescent="0.25">
      <c r="C58" s="171"/>
      <c r="D58" s="173"/>
      <c r="K58" s="152">
        <v>51</v>
      </c>
      <c r="L58" s="153">
        <f t="shared" si="10"/>
        <v>0</v>
      </c>
      <c r="M58" s="154" t="str">
        <f t="shared" si="11"/>
        <v/>
      </c>
    </row>
    <row r="59" spans="2:15" s="155" customFormat="1" x14ac:dyDescent="0.25">
      <c r="C59" s="171"/>
      <c r="D59" s="173"/>
      <c r="J59" s="150" t="s">
        <v>60</v>
      </c>
      <c r="K59" s="152">
        <v>52</v>
      </c>
      <c r="L59" s="153">
        <f t="shared" si="10"/>
        <v>0</v>
      </c>
      <c r="M59" s="154" t="str">
        <f t="shared" si="11"/>
        <v/>
      </c>
    </row>
    <row r="60" spans="2:15" s="155" customFormat="1" x14ac:dyDescent="0.25">
      <c r="C60" s="171"/>
      <c r="D60" s="173"/>
      <c r="K60" s="218" t="s">
        <v>64</v>
      </c>
      <c r="L60" s="219"/>
      <c r="M60" s="156">
        <f>SUM(M55:M59)</f>
        <v>0</v>
      </c>
    </row>
    <row r="61" spans="2:15" ht="55.5" customHeight="1" x14ac:dyDescent="0.3">
      <c r="B61" s="155"/>
      <c r="C61" s="171"/>
      <c r="D61" s="68"/>
      <c r="E61" s="47"/>
      <c r="F61" s="47"/>
      <c r="G61" s="47"/>
      <c r="H61" s="47"/>
      <c r="I61" s="47"/>
      <c r="J61" s="48"/>
      <c r="K61" s="139"/>
      <c r="L61" s="139"/>
      <c r="M61" s="140"/>
      <c r="N61" s="140"/>
      <c r="O61" s="141"/>
    </row>
    <row r="62" spans="2:15" ht="13" x14ac:dyDescent="0.3">
      <c r="B62" s="155"/>
      <c r="C62" s="172"/>
      <c r="J62" s="51" t="s">
        <v>38</v>
      </c>
      <c r="K62" s="51"/>
      <c r="L62" s="52"/>
      <c r="O62" s="53" t="s">
        <v>40</v>
      </c>
    </row>
    <row r="63" spans="2:15" x14ac:dyDescent="0.25">
      <c r="B63" s="155"/>
      <c r="C63" s="171"/>
      <c r="J63" s="51"/>
      <c r="K63" s="51"/>
      <c r="L63" s="155"/>
      <c r="M63" s="159"/>
      <c r="N63" s="159"/>
      <c r="O63" s="160"/>
    </row>
    <row r="64" spans="2:15" ht="13" x14ac:dyDescent="0.3">
      <c r="B64" s="155"/>
      <c r="C64" s="172"/>
      <c r="J64" s="51"/>
      <c r="K64" s="51"/>
      <c r="L64" s="155"/>
      <c r="M64" s="159"/>
      <c r="N64" s="159"/>
      <c r="O64" s="160"/>
    </row>
    <row r="65" spans="2:15" x14ac:dyDescent="0.25">
      <c r="B65" s="155"/>
      <c r="C65" s="171"/>
      <c r="J65" s="51"/>
      <c r="K65" s="51"/>
      <c r="L65" s="155"/>
      <c r="M65" s="159"/>
      <c r="N65" s="159"/>
      <c r="O65" s="160"/>
    </row>
    <row r="66" spans="2:15" x14ac:dyDescent="0.25">
      <c r="B66" s="155"/>
      <c r="C66" s="171"/>
      <c r="J66" s="51"/>
      <c r="K66" s="51"/>
      <c r="L66" s="155"/>
      <c r="M66" s="159"/>
      <c r="N66" s="159"/>
      <c r="O66" s="160"/>
    </row>
    <row r="67" spans="2:15" ht="55.5" customHeight="1" x14ac:dyDescent="0.3">
      <c r="B67" s="155"/>
      <c r="C67" s="171"/>
      <c r="D67" s="68"/>
      <c r="E67" s="47"/>
      <c r="F67" s="47"/>
      <c r="G67" s="47"/>
      <c r="H67" s="47"/>
      <c r="I67" s="47"/>
      <c r="J67" s="48"/>
      <c r="K67" s="48"/>
      <c r="L67" s="48"/>
      <c r="M67" s="49"/>
      <c r="N67" s="49"/>
      <c r="O67" s="50"/>
    </row>
    <row r="68" spans="2:15" x14ac:dyDescent="0.25">
      <c r="J68" s="51" t="s">
        <v>39</v>
      </c>
      <c r="K68" s="51"/>
      <c r="L68" s="52"/>
      <c r="M68" s="52"/>
      <c r="N68" s="52"/>
      <c r="O68" s="53" t="s">
        <v>40</v>
      </c>
    </row>
  </sheetData>
  <sheetProtection algorithmName="SHA-512" hashValue="8LKHOIYE5PNfERDxPbspxAVWBFugE3Zoe8lRJHmV7Qs+rhevoZj3bZbozXa4a4c2luLUcIioXunr2gnvwfPKgQ==" saltValue="3cgIGEuIg3AkBb0wJxTTBw==" spinCount="100000" sheet="1" objects="1" scenarios="1"/>
  <mergeCells count="17">
    <mergeCell ref="K60:L60"/>
    <mergeCell ref="E11:F11"/>
    <mergeCell ref="L8:M8"/>
    <mergeCell ref="N8:O8"/>
    <mergeCell ref="L9:M9"/>
    <mergeCell ref="N9:O9"/>
    <mergeCell ref="L10:M10"/>
    <mergeCell ref="N10:O10"/>
    <mergeCell ref="D15:E15"/>
    <mergeCell ref="E7:G7"/>
    <mergeCell ref="L7:M7"/>
    <mergeCell ref="N7:O7"/>
    <mergeCell ref="E3:J3"/>
    <mergeCell ref="E5:G5"/>
    <mergeCell ref="L5:M5"/>
    <mergeCell ref="N5:O5"/>
    <mergeCell ref="E6:G6"/>
  </mergeCells>
  <conditionalFormatting sqref="M60">
    <cfRule type="cellIs" dxfId="1" priority="1" operator="lessThan">
      <formula>0</formula>
    </cfRule>
  </conditionalFormatting>
  <pageMargins left="0.5" right="0.5" top="0.75" bottom="0" header="0.5" footer="0"/>
  <pageSetup paperSize="9" scale="5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pageSetUpPr fitToPage="1"/>
  </sheetPr>
  <dimension ref="A1:F45"/>
  <sheetViews>
    <sheetView workbookViewId="0">
      <selection sqref="A1:A4"/>
    </sheetView>
  </sheetViews>
  <sheetFormatPr defaultColWidth="10.90625" defaultRowHeight="12.5" x14ac:dyDescent="0.25"/>
  <cols>
    <col min="1" max="1" width="14.54296875" customWidth="1"/>
  </cols>
  <sheetData>
    <row r="1" spans="1:6" ht="12.75" customHeight="1" x14ac:dyDescent="0.25">
      <c r="A1" s="245" t="s">
        <v>33</v>
      </c>
      <c r="B1" s="236" t="s">
        <v>15</v>
      </c>
      <c r="C1" s="237"/>
      <c r="D1" s="237"/>
      <c r="E1" s="237"/>
      <c r="F1" s="238"/>
    </row>
    <row r="2" spans="1:6" ht="13.5" customHeight="1" x14ac:dyDescent="0.25">
      <c r="A2" s="246"/>
      <c r="B2" s="14">
        <v>5</v>
      </c>
      <c r="C2" s="14">
        <v>4</v>
      </c>
      <c r="D2" s="14">
        <v>3</v>
      </c>
      <c r="E2" s="14">
        <v>2</v>
      </c>
      <c r="F2" s="14">
        <v>1</v>
      </c>
    </row>
    <row r="3" spans="1:6" ht="13.5" customHeight="1" x14ac:dyDescent="0.25">
      <c r="A3" s="245"/>
      <c r="B3" s="239" t="s">
        <v>34</v>
      </c>
      <c r="C3" s="240"/>
      <c r="D3" s="240"/>
      <c r="E3" s="240"/>
      <c r="F3" s="241"/>
    </row>
    <row r="4" spans="1:6" ht="13.5" customHeight="1" x14ac:dyDescent="0.25">
      <c r="A4" s="247"/>
      <c r="B4" s="242"/>
      <c r="C4" s="243"/>
      <c r="D4" s="243"/>
      <c r="E4" s="243"/>
      <c r="F4" s="244"/>
    </row>
    <row r="5" spans="1:6" x14ac:dyDescent="0.25">
      <c r="A5" s="10">
        <v>1</v>
      </c>
      <c r="B5" s="13">
        <v>2</v>
      </c>
      <c r="C5" s="13">
        <v>1.3</v>
      </c>
      <c r="D5" s="13">
        <v>1</v>
      </c>
      <c r="E5" s="13">
        <v>1</v>
      </c>
      <c r="F5" s="13">
        <v>0.3</v>
      </c>
    </row>
    <row r="6" spans="1:6" x14ac:dyDescent="0.25">
      <c r="A6" s="11">
        <v>2</v>
      </c>
      <c r="B6" s="12">
        <v>3.3</v>
      </c>
      <c r="C6" s="12">
        <v>3</v>
      </c>
      <c r="D6" s="12">
        <v>2</v>
      </c>
      <c r="E6" s="12">
        <v>1.3</v>
      </c>
      <c r="F6" s="12">
        <v>1</v>
      </c>
    </row>
    <row r="7" spans="1:6" x14ac:dyDescent="0.25">
      <c r="A7" s="10">
        <v>3</v>
      </c>
      <c r="B7" s="10">
        <v>5</v>
      </c>
      <c r="C7" s="10">
        <v>4</v>
      </c>
      <c r="D7" s="10">
        <v>3</v>
      </c>
      <c r="E7" s="10">
        <v>2</v>
      </c>
      <c r="F7" s="10">
        <v>1</v>
      </c>
    </row>
    <row r="8" spans="1:6" x14ac:dyDescent="0.25">
      <c r="A8" s="11">
        <v>4</v>
      </c>
      <c r="B8" s="12">
        <v>7</v>
      </c>
      <c r="C8" s="12">
        <v>5.3</v>
      </c>
      <c r="D8" s="12">
        <v>4</v>
      </c>
      <c r="E8" s="12">
        <v>3</v>
      </c>
      <c r="F8" s="12">
        <v>1.3</v>
      </c>
    </row>
    <row r="9" spans="1:6" x14ac:dyDescent="0.25">
      <c r="A9" s="10">
        <v>5</v>
      </c>
      <c r="B9" s="10">
        <v>8.3000000000000007</v>
      </c>
      <c r="C9" s="10">
        <v>7</v>
      </c>
      <c r="D9" s="10">
        <v>5</v>
      </c>
      <c r="E9" s="10">
        <v>3.3</v>
      </c>
      <c r="F9" s="10">
        <v>2</v>
      </c>
    </row>
    <row r="10" spans="1:6" x14ac:dyDescent="0.25">
      <c r="A10" s="11">
        <v>6</v>
      </c>
      <c r="B10" s="12">
        <v>10</v>
      </c>
      <c r="C10" s="12">
        <v>8</v>
      </c>
      <c r="D10" s="12">
        <v>6</v>
      </c>
      <c r="E10" s="12">
        <v>4</v>
      </c>
      <c r="F10" s="12">
        <v>2</v>
      </c>
    </row>
    <row r="11" spans="1:6" x14ac:dyDescent="0.25">
      <c r="A11" s="10">
        <v>7</v>
      </c>
      <c r="B11" s="10">
        <v>12</v>
      </c>
      <c r="C11" s="10">
        <v>9.3000000000000007</v>
      </c>
      <c r="D11" s="10">
        <v>7</v>
      </c>
      <c r="E11" s="10">
        <v>5</v>
      </c>
      <c r="F11" s="10">
        <v>2.2999999999999998</v>
      </c>
    </row>
    <row r="12" spans="1:6" x14ac:dyDescent="0.25">
      <c r="A12" s="11">
        <v>8</v>
      </c>
      <c r="B12" s="12">
        <v>13.3</v>
      </c>
      <c r="C12" s="12">
        <v>11</v>
      </c>
      <c r="D12" s="12">
        <v>8</v>
      </c>
      <c r="E12" s="12">
        <v>5.3</v>
      </c>
      <c r="F12" s="12">
        <v>3</v>
      </c>
    </row>
    <row r="13" spans="1:6" x14ac:dyDescent="0.25">
      <c r="A13" s="10">
        <v>9</v>
      </c>
      <c r="B13" s="10">
        <v>15</v>
      </c>
      <c r="C13" s="10">
        <v>12</v>
      </c>
      <c r="D13" s="10">
        <v>9</v>
      </c>
      <c r="E13" s="10">
        <v>6</v>
      </c>
      <c r="F13" s="10">
        <v>3</v>
      </c>
    </row>
    <row r="14" spans="1:6" x14ac:dyDescent="0.25">
      <c r="A14" s="11">
        <v>10</v>
      </c>
      <c r="B14" s="12">
        <v>17</v>
      </c>
      <c r="C14" s="12">
        <v>13.3</v>
      </c>
      <c r="D14" s="12">
        <v>10</v>
      </c>
      <c r="E14" s="12">
        <v>7</v>
      </c>
      <c r="F14" s="12">
        <v>3.3</v>
      </c>
    </row>
    <row r="15" spans="1:6" x14ac:dyDescent="0.25">
      <c r="A15" s="10">
        <v>11</v>
      </c>
      <c r="B15" s="10">
        <v>18.3</v>
      </c>
      <c r="C15" s="10">
        <v>15</v>
      </c>
      <c r="D15" s="10">
        <v>11</v>
      </c>
      <c r="E15" s="10">
        <v>7.3</v>
      </c>
      <c r="F15" s="10">
        <v>4</v>
      </c>
    </row>
    <row r="16" spans="1:6" x14ac:dyDescent="0.25">
      <c r="A16" s="11">
        <v>12</v>
      </c>
      <c r="B16" s="12">
        <v>20</v>
      </c>
      <c r="C16" s="12">
        <v>16</v>
      </c>
      <c r="D16" s="12">
        <v>12</v>
      </c>
      <c r="E16" s="12">
        <v>8</v>
      </c>
      <c r="F16" s="12">
        <v>4</v>
      </c>
    </row>
    <row r="18" spans="1:6" ht="27.75" customHeight="1" x14ac:dyDescent="0.25">
      <c r="A18" s="235"/>
      <c r="B18" s="235"/>
      <c r="C18" s="235"/>
      <c r="D18" s="235"/>
      <c r="E18" s="235"/>
      <c r="F18" s="235"/>
    </row>
    <row r="20" spans="1:6" ht="13" x14ac:dyDescent="0.3">
      <c r="A20" s="18" t="s">
        <v>35</v>
      </c>
      <c r="B20" s="19" t="s">
        <v>8</v>
      </c>
    </row>
    <row r="21" spans="1:6" ht="13" x14ac:dyDescent="0.3">
      <c r="A21" s="18"/>
      <c r="B21" s="18" t="s">
        <v>36</v>
      </c>
    </row>
    <row r="31" spans="1:6" x14ac:dyDescent="0.25">
      <c r="D31" s="109"/>
    </row>
    <row r="38" spans="4:5" x14ac:dyDescent="0.25">
      <c r="D38" s="109"/>
    </row>
    <row r="40" spans="4:5" x14ac:dyDescent="0.25">
      <c r="D40" s="109"/>
      <c r="E40" s="109"/>
    </row>
    <row r="44" spans="4:5" x14ac:dyDescent="0.25">
      <c r="D44" s="109"/>
      <c r="E44" s="109"/>
    </row>
    <row r="45" spans="4:5" x14ac:dyDescent="0.25">
      <c r="D45" s="109"/>
      <c r="E45" s="109"/>
    </row>
  </sheetData>
  <sheetProtection algorithmName="SHA-512" hashValue="cVpaM1PK77yU5ke5vY4Aw53kmFnAR7SMQKWTj1bnx5HcJ7LqdUTZm7cxoEU3zoMNY5aA7NeTe8ekP3zAekcLrw==" saltValue="OBtqAz5F+MlaDhmlTTOjfA==" spinCount="100000" sheet="1" objects="1" scenarios="1"/>
  <mergeCells count="4">
    <mergeCell ref="A18:F18"/>
    <mergeCell ref="B1:F1"/>
    <mergeCell ref="B3:F4"/>
    <mergeCell ref="A1:A4"/>
  </mergeCells>
  <hyperlinks>
    <hyperlink ref="B20" r:id="rId1"/>
  </hyperlinks>
  <pageMargins left="0.7" right="0.7" top="0.78740157499999996" bottom="0.78740157499999996" header="0.3" footer="0.3"/>
  <pageSetup paperSize="9" scale="94" orientation="portrait" verticalDpi="597"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0" tint="-0.14999847407452621"/>
    <pageSetUpPr fitToPage="1"/>
  </sheetPr>
  <dimension ref="B1:M45"/>
  <sheetViews>
    <sheetView showGridLines="0" showZeros="0" workbookViewId="0">
      <selection activeCell="B15" sqref="B15:L15"/>
    </sheetView>
  </sheetViews>
  <sheetFormatPr defaultColWidth="9.1796875" defaultRowHeight="12.5" x14ac:dyDescent="0.25"/>
  <cols>
    <col min="1" max="1" width="2.1796875" style="1" customWidth="1"/>
    <col min="2" max="2" width="14.81640625" style="1" customWidth="1"/>
    <col min="3" max="9" width="12.453125" style="1" customWidth="1"/>
    <col min="10" max="10" width="13.453125" style="1" customWidth="1"/>
    <col min="11" max="11" width="13" style="1" customWidth="1"/>
    <col min="12" max="13" width="12.453125" style="1" customWidth="1"/>
    <col min="14" max="16384" width="9.1796875" style="1"/>
  </cols>
  <sheetData>
    <row r="1" spans="2:13" ht="34.5" customHeight="1" x14ac:dyDescent="0.35">
      <c r="L1" s="8" t="s">
        <v>25</v>
      </c>
    </row>
    <row r="2" spans="2:13" ht="15" customHeight="1" x14ac:dyDescent="0.5">
      <c r="M2" s="2"/>
    </row>
    <row r="3" spans="2:13" ht="28.5" customHeight="1" x14ac:dyDescent="0.25">
      <c r="B3" s="248" t="s">
        <v>1</v>
      </c>
      <c r="C3" s="248"/>
      <c r="D3" s="248"/>
      <c r="E3" s="248"/>
      <c r="F3" s="248"/>
      <c r="G3" s="248"/>
      <c r="H3" s="7"/>
    </row>
    <row r="4" spans="2:13" ht="14.25" customHeight="1" x14ac:dyDescent="0.25"/>
    <row r="5" spans="2:13" ht="17.149999999999999" customHeight="1" x14ac:dyDescent="0.25">
      <c r="B5" s="192" t="s">
        <v>2</v>
      </c>
      <c r="C5" s="192"/>
      <c r="D5" s="192"/>
      <c r="E5" s="143"/>
      <c r="F5" s="110"/>
      <c r="G5" s="110"/>
      <c r="H5" s="110"/>
      <c r="I5" s="193" t="s">
        <v>14</v>
      </c>
      <c r="J5" s="193"/>
      <c r="K5" s="194" t="s">
        <v>9</v>
      </c>
      <c r="L5" s="194"/>
    </row>
    <row r="6" spans="2:13" ht="17.149999999999999" customHeight="1" x14ac:dyDescent="0.25">
      <c r="B6" s="192" t="s">
        <v>3</v>
      </c>
      <c r="C6" s="192"/>
      <c r="D6" s="192"/>
      <c r="E6" s="143"/>
      <c r="F6" s="110"/>
      <c r="G6" s="110"/>
      <c r="H6" s="110"/>
      <c r="I6" s="145"/>
      <c r="J6" s="145"/>
      <c r="K6" s="115"/>
      <c r="L6" s="115"/>
    </row>
    <row r="7" spans="2:13" ht="17.149999999999999" customHeight="1" x14ac:dyDescent="0.25">
      <c r="B7" s="192"/>
      <c r="C7" s="192"/>
      <c r="D7" s="192"/>
      <c r="E7" s="143"/>
      <c r="F7" s="110"/>
      <c r="G7" s="110"/>
      <c r="H7" s="110"/>
      <c r="I7" s="193" t="s">
        <v>37</v>
      </c>
      <c r="J7" s="193"/>
      <c r="K7" s="210" t="s">
        <v>5</v>
      </c>
      <c r="L7" s="210"/>
    </row>
    <row r="8" spans="2:13" ht="17.149999999999999" customHeight="1" x14ac:dyDescent="0.25">
      <c r="B8" s="110"/>
      <c r="C8" s="110"/>
      <c r="D8" s="110"/>
      <c r="E8" s="110"/>
      <c r="F8" s="110"/>
      <c r="G8" s="110"/>
      <c r="H8" s="110"/>
      <c r="I8" s="193"/>
      <c r="J8" s="193"/>
      <c r="K8" s="207"/>
      <c r="L8" s="208"/>
    </row>
    <row r="9" spans="2:13" ht="17.149999999999999" customHeight="1" x14ac:dyDescent="0.25">
      <c r="B9" s="110"/>
      <c r="C9" s="110"/>
      <c r="D9" s="110"/>
      <c r="E9" s="110"/>
      <c r="F9" s="110"/>
      <c r="G9" s="110"/>
      <c r="H9" s="110"/>
      <c r="I9" s="193" t="s">
        <v>24</v>
      </c>
      <c r="J9" s="193"/>
      <c r="K9" s="206" t="s">
        <v>6</v>
      </c>
      <c r="L9" s="206"/>
    </row>
    <row r="10" spans="2:13" ht="17.149999999999999" customHeight="1" x14ac:dyDescent="0.25">
      <c r="B10" s="142" t="s">
        <v>15</v>
      </c>
      <c r="C10" s="31"/>
      <c r="D10" s="116">
        <v>4</v>
      </c>
      <c r="E10" s="117"/>
      <c r="F10" s="110"/>
      <c r="G10" s="110"/>
      <c r="H10" s="110"/>
      <c r="I10" s="193"/>
      <c r="J10" s="193"/>
      <c r="K10" s="207"/>
      <c r="L10" s="208"/>
    </row>
    <row r="11" spans="2:13" ht="17.149999999999999" customHeight="1" x14ac:dyDescent="0.25">
      <c r="B11" s="195" t="s">
        <v>16</v>
      </c>
      <c r="C11" s="195"/>
      <c r="D11" s="118">
        <v>0.375</v>
      </c>
      <c r="E11" s="117"/>
      <c r="F11" s="110"/>
      <c r="G11" s="110"/>
      <c r="H11" s="110"/>
      <c r="I11" s="144"/>
      <c r="J11" s="144"/>
      <c r="K11" s="120"/>
      <c r="L11" s="121"/>
    </row>
    <row r="12" spans="2:13" ht="17.149999999999999" customHeight="1" x14ac:dyDescent="0.25">
      <c r="B12" s="142" t="s">
        <v>17</v>
      </c>
      <c r="C12" s="37"/>
      <c r="D12" s="122">
        <v>42005</v>
      </c>
      <c r="E12" s="123" t="s">
        <v>18</v>
      </c>
      <c r="F12" s="124">
        <v>42124</v>
      </c>
      <c r="G12" s="110"/>
      <c r="H12" s="110"/>
      <c r="I12" s="144"/>
      <c r="J12" s="144"/>
      <c r="K12" s="120"/>
      <c r="L12" s="121"/>
    </row>
    <row r="13" spans="2:13" ht="17.149999999999999" customHeight="1" x14ac:dyDescent="0.25">
      <c r="B13" s="142" t="s">
        <v>19</v>
      </c>
      <c r="C13" s="37"/>
      <c r="D13" s="116">
        <v>5.3</v>
      </c>
      <c r="E13" s="125" t="s">
        <v>20</v>
      </c>
      <c r="F13" s="116">
        <v>1</v>
      </c>
      <c r="G13" s="38" t="s">
        <v>21</v>
      </c>
      <c r="H13" s="116">
        <f>J23</f>
        <v>0.3</v>
      </c>
      <c r="I13" s="38" t="s">
        <v>22</v>
      </c>
      <c r="J13" s="116">
        <f>D13-F13-H13</f>
        <v>4</v>
      </c>
      <c r="K13" s="120"/>
      <c r="L13" s="121"/>
    </row>
    <row r="15" spans="2:13" ht="21" customHeight="1" x14ac:dyDescent="0.25">
      <c r="B15" s="126" t="s">
        <v>41</v>
      </c>
      <c r="C15" s="127" t="s">
        <v>42</v>
      </c>
      <c r="D15" s="127" t="s">
        <v>43</v>
      </c>
      <c r="E15" s="128" t="s">
        <v>44</v>
      </c>
      <c r="F15" s="127" t="s">
        <v>42</v>
      </c>
      <c r="G15" s="127" t="s">
        <v>43</v>
      </c>
      <c r="H15" s="128" t="s">
        <v>45</v>
      </c>
      <c r="I15" s="129" t="s">
        <v>4</v>
      </c>
      <c r="J15" s="127" t="s">
        <v>46</v>
      </c>
      <c r="K15" s="127" t="s">
        <v>47</v>
      </c>
      <c r="L15" s="127" t="s">
        <v>48</v>
      </c>
    </row>
    <row r="16" spans="2:13" ht="21" customHeight="1" x14ac:dyDescent="0.25">
      <c r="B16" s="5" t="s">
        <v>26</v>
      </c>
      <c r="C16" s="20"/>
      <c r="D16" s="20"/>
      <c r="E16" s="23">
        <f t="shared" ref="E16:E22" si="0">D16-C16</f>
        <v>0</v>
      </c>
      <c r="F16" s="21"/>
      <c r="G16" s="20"/>
      <c r="H16" s="23">
        <f t="shared" ref="H16:H22" si="1">G16-F16</f>
        <v>0</v>
      </c>
      <c r="I16" s="15"/>
      <c r="J16" s="22"/>
      <c r="K16" s="23" t="str">
        <f>IF(J16="","",J16*($D$11/$D$10))</f>
        <v/>
      </c>
      <c r="L16" s="15">
        <f>E16+H16-I16</f>
        <v>0</v>
      </c>
    </row>
    <row r="17" spans="2:12" ht="21" customHeight="1" x14ac:dyDescent="0.25">
      <c r="B17" s="5" t="s">
        <v>27</v>
      </c>
      <c r="C17" s="20">
        <v>0.41666666666666669</v>
      </c>
      <c r="D17" s="20">
        <v>0.47916666666666669</v>
      </c>
      <c r="E17" s="23">
        <f t="shared" si="0"/>
        <v>6.25E-2</v>
      </c>
      <c r="F17" s="21"/>
      <c r="G17" s="20"/>
      <c r="H17" s="23">
        <f t="shared" si="1"/>
        <v>0</v>
      </c>
      <c r="I17" s="15">
        <v>2.0833333333333332E-2</v>
      </c>
      <c r="J17" s="22"/>
      <c r="K17" s="23" t="str">
        <f t="shared" ref="K17:K22" si="2">IF(J17="","",J17*($D$11/$D$10))</f>
        <v/>
      </c>
      <c r="L17" s="15">
        <f t="shared" ref="L17:L22" si="3">E17+H17-I17</f>
        <v>4.1666666666666671E-2</v>
      </c>
    </row>
    <row r="18" spans="2:12" ht="21" customHeight="1" x14ac:dyDescent="0.25">
      <c r="B18" s="5" t="s">
        <v>28</v>
      </c>
      <c r="C18" s="20">
        <v>0.33333333333333331</v>
      </c>
      <c r="D18" s="20">
        <v>0.39583333333333331</v>
      </c>
      <c r="E18" s="23">
        <f t="shared" si="0"/>
        <v>6.25E-2</v>
      </c>
      <c r="F18" s="21">
        <v>0.58333333333333337</v>
      </c>
      <c r="G18" s="20">
        <v>0.625</v>
      </c>
      <c r="H18" s="23">
        <f t="shared" si="1"/>
        <v>4.166666666666663E-2</v>
      </c>
      <c r="I18" s="15"/>
      <c r="J18" s="22"/>
      <c r="K18" s="23" t="str">
        <f t="shared" si="2"/>
        <v/>
      </c>
      <c r="L18" s="15">
        <f t="shared" si="3"/>
        <v>0.10416666666666663</v>
      </c>
    </row>
    <row r="19" spans="2:12" ht="21" customHeight="1" x14ac:dyDescent="0.25">
      <c r="B19" s="5" t="s">
        <v>29</v>
      </c>
      <c r="C19" s="20"/>
      <c r="D19" s="20"/>
      <c r="E19" s="23">
        <f t="shared" si="0"/>
        <v>0</v>
      </c>
      <c r="F19" s="21"/>
      <c r="G19" s="20"/>
      <c r="H19" s="23">
        <f t="shared" si="1"/>
        <v>0</v>
      </c>
      <c r="I19" s="15"/>
      <c r="J19" s="22">
        <v>0.3</v>
      </c>
      <c r="K19" s="23">
        <f t="shared" si="2"/>
        <v>2.8124999999999997E-2</v>
      </c>
      <c r="L19" s="15">
        <f t="shared" si="3"/>
        <v>0</v>
      </c>
    </row>
    <row r="20" spans="2:12" ht="21" customHeight="1" x14ac:dyDescent="0.25">
      <c r="B20" s="5" t="s">
        <v>30</v>
      </c>
      <c r="C20" s="20">
        <v>0.375</v>
      </c>
      <c r="D20" s="20">
        <v>0.54166666666666663</v>
      </c>
      <c r="E20" s="23">
        <f t="shared" si="0"/>
        <v>0.16666666666666663</v>
      </c>
      <c r="F20" s="21"/>
      <c r="G20" s="20"/>
      <c r="H20" s="23">
        <f t="shared" si="1"/>
        <v>0</v>
      </c>
      <c r="I20" s="15"/>
      <c r="J20" s="22"/>
      <c r="K20" s="23" t="str">
        <f t="shared" si="2"/>
        <v/>
      </c>
      <c r="L20" s="15">
        <f t="shared" si="3"/>
        <v>0.16666666666666663</v>
      </c>
    </row>
    <row r="21" spans="2:12" ht="21" customHeight="1" x14ac:dyDescent="0.25">
      <c r="B21" s="5" t="s">
        <v>31</v>
      </c>
      <c r="C21" s="20"/>
      <c r="D21" s="20"/>
      <c r="E21" s="23">
        <f t="shared" si="0"/>
        <v>0</v>
      </c>
      <c r="F21" s="21"/>
      <c r="G21" s="20"/>
      <c r="H21" s="23">
        <f t="shared" si="1"/>
        <v>0</v>
      </c>
      <c r="I21" s="15"/>
      <c r="J21" s="22"/>
      <c r="K21" s="23" t="str">
        <f t="shared" si="2"/>
        <v/>
      </c>
      <c r="L21" s="15">
        <f t="shared" si="3"/>
        <v>0</v>
      </c>
    </row>
    <row r="22" spans="2:12" ht="21" customHeight="1" x14ac:dyDescent="0.25">
      <c r="B22" s="5" t="s">
        <v>32</v>
      </c>
      <c r="C22" s="20"/>
      <c r="D22" s="20"/>
      <c r="E22" s="23">
        <f t="shared" si="0"/>
        <v>0</v>
      </c>
      <c r="F22" s="21"/>
      <c r="G22" s="20"/>
      <c r="H22" s="23">
        <f t="shared" si="1"/>
        <v>0</v>
      </c>
      <c r="I22" s="15"/>
      <c r="J22" s="22"/>
      <c r="K22" s="23" t="str">
        <f t="shared" si="2"/>
        <v/>
      </c>
      <c r="L22" s="15">
        <f t="shared" si="3"/>
        <v>0</v>
      </c>
    </row>
    <row r="23" spans="2:12" ht="21" customHeight="1" x14ac:dyDescent="0.25">
      <c r="I23" s="5" t="s">
        <v>0</v>
      </c>
      <c r="J23" s="16">
        <f>SUM(J16:J22)</f>
        <v>0.3</v>
      </c>
      <c r="K23" s="15">
        <f>SUM(K16:K22)</f>
        <v>2.8124999999999997E-2</v>
      </c>
      <c r="L23" s="15">
        <f>SUM(L16:L22)</f>
        <v>0.31249999999999994</v>
      </c>
    </row>
    <row r="24" spans="2:12" ht="21" customHeight="1" x14ac:dyDescent="0.25">
      <c r="K24" s="5" t="s">
        <v>7</v>
      </c>
      <c r="L24" s="15">
        <f>L23+K23</f>
        <v>0.34062499999999996</v>
      </c>
    </row>
    <row r="25" spans="2:12" ht="55.5" customHeight="1" x14ac:dyDescent="0.3">
      <c r="B25" s="6"/>
      <c r="C25" s="6"/>
      <c r="D25" s="6"/>
      <c r="E25" s="6"/>
      <c r="F25" s="6"/>
      <c r="G25" s="9"/>
      <c r="H25" s="9"/>
      <c r="I25" s="9"/>
      <c r="J25" s="4"/>
      <c r="K25" s="4"/>
      <c r="L25" s="3"/>
    </row>
    <row r="26" spans="2:12" x14ac:dyDescent="0.25">
      <c r="G26" s="51" t="s">
        <v>38</v>
      </c>
      <c r="H26" s="51"/>
      <c r="I26" s="52"/>
      <c r="J26" s="24"/>
      <c r="K26" s="24"/>
      <c r="L26" s="53" t="s">
        <v>40</v>
      </c>
    </row>
    <row r="27" spans="2:12" ht="55.5" customHeight="1" x14ac:dyDescent="0.3">
      <c r="B27" s="6"/>
      <c r="C27" s="6"/>
      <c r="D27" s="6"/>
      <c r="E27" s="6"/>
      <c r="F27" s="6"/>
      <c r="G27" s="48"/>
      <c r="H27" s="48"/>
      <c r="I27" s="48"/>
      <c r="J27" s="49"/>
      <c r="K27" s="49"/>
      <c r="L27" s="50"/>
    </row>
    <row r="28" spans="2:12" x14ac:dyDescent="0.25">
      <c r="G28" s="51" t="s">
        <v>39</v>
      </c>
      <c r="H28" s="51"/>
      <c r="I28" s="52"/>
      <c r="J28" s="52"/>
      <c r="K28" s="52"/>
      <c r="L28" s="53" t="s">
        <v>40</v>
      </c>
    </row>
    <row r="31" spans="2:12" x14ac:dyDescent="0.25">
      <c r="D31" s="108"/>
    </row>
    <row r="38" spans="4:5" x14ac:dyDescent="0.25">
      <c r="D38" s="108"/>
    </row>
    <row r="40" spans="4:5" x14ac:dyDescent="0.25">
      <c r="D40" s="108"/>
      <c r="E40" s="108"/>
    </row>
    <row r="44" spans="4:5" x14ac:dyDescent="0.25">
      <c r="D44" s="108"/>
      <c r="E44" s="108"/>
    </row>
    <row r="45" spans="4:5" x14ac:dyDescent="0.25">
      <c r="D45" s="108"/>
      <c r="E45" s="108"/>
    </row>
  </sheetData>
  <sheetProtection algorithmName="SHA-512" hashValue="z4F86zyJ8ZXxdlBa73dkolfIg8cPU9UaU+SsjbQly2DqeSzDNb8Eszw9C2O0kffG8vaG1qrH23uGjuVohoMCKQ==" saltValue="EYmnO3vB2PKsWj1i4NLA/A==" spinCount="100000" sheet="1" objects="1" scenarios="1"/>
  <mergeCells count="15">
    <mergeCell ref="B7:D7"/>
    <mergeCell ref="I7:J7"/>
    <mergeCell ref="K7:L7"/>
    <mergeCell ref="B3:G3"/>
    <mergeCell ref="B5:D5"/>
    <mergeCell ref="I5:J5"/>
    <mergeCell ref="K5:L5"/>
    <mergeCell ref="B6:D6"/>
    <mergeCell ref="B11:C11"/>
    <mergeCell ref="I8:J8"/>
    <mergeCell ref="K8:L8"/>
    <mergeCell ref="I9:J9"/>
    <mergeCell ref="K9:L9"/>
    <mergeCell ref="I10:J10"/>
    <mergeCell ref="K10:L10"/>
  </mergeCells>
  <conditionalFormatting sqref="L24">
    <cfRule type="cellIs" dxfId="0" priority="1" stopIfTrue="1" operator="lessThan">
      <formula>$D$11</formula>
    </cfRule>
  </conditionalFormatting>
  <hyperlinks>
    <hyperlink ref="K8" r:id="rId1" display="student@gmx.de"/>
    <hyperlink ref="K10" r:id="rId2" display="mustermann@faps.fau.de"/>
  </hyperlinks>
  <pageMargins left="0.5" right="0.5" top="0.75" bottom="0" header="0.5" footer="0"/>
  <pageSetup paperSize="9" scale="88" orientation="landscape" r:id="rId3"/>
  <headerFooter alignWithMargins="0"/>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Start&amp;Help</vt:lpstr>
      <vt:lpstr>Jan 16</vt:lpstr>
      <vt:lpstr>Feb 16</vt:lpstr>
      <vt:lpstr>March 16</vt:lpstr>
      <vt:lpstr>April 16</vt:lpstr>
      <vt:lpstr>May 16</vt:lpstr>
      <vt:lpstr>June 16</vt:lpstr>
      <vt:lpstr>July 16</vt:lpstr>
      <vt:lpstr>Aug 16</vt:lpstr>
      <vt:lpstr>Sept 16</vt:lpstr>
      <vt:lpstr>Oct 16</vt:lpstr>
      <vt:lpstr>Nov 16</vt:lpstr>
      <vt:lpstr>Dec 16</vt:lpstr>
      <vt:lpstr>Holidays</vt:lpstr>
      <vt:lpstr>Example</vt:lpstr>
      <vt:lpstr>'April 16'!Print_Area</vt:lpstr>
      <vt:lpstr>'Aug 16'!Print_Area</vt:lpstr>
      <vt:lpstr>'Dec 16'!Print_Area</vt:lpstr>
      <vt:lpstr>Example!Print_Area</vt:lpstr>
      <vt:lpstr>'Feb 16'!Print_Area</vt:lpstr>
      <vt:lpstr>'Jan 16'!Print_Area</vt:lpstr>
      <vt:lpstr>'July 16'!Print_Area</vt:lpstr>
      <vt:lpstr>'June 16'!Print_Area</vt:lpstr>
      <vt:lpstr>'March 16'!Print_Area</vt:lpstr>
      <vt:lpstr>'May 16'!Print_Area</vt:lpstr>
      <vt:lpstr>'Nov 16'!Print_Area</vt:lpstr>
      <vt:lpstr>'Oct 16'!Print_Area</vt:lpstr>
      <vt:lpstr>'Sept 16'!Print_Area</vt:lpstr>
      <vt:lpstr>'Start&amp;Help'!Print_Area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Stöckigt Anja</dc:creator>
  <cp:lastModifiedBy>Dhinesh Bala</cp:lastModifiedBy>
  <cp:lastPrinted>2016-06-03T15:02:56Z</cp:lastPrinted>
  <dcterms:created xsi:type="dcterms:W3CDTF">2000-08-25T01:59:39Z</dcterms:created>
  <dcterms:modified xsi:type="dcterms:W3CDTF">2016-07-11T09:25:58Z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TC062071411031</vt:lpwstr>
  </property>
</Properties>
</file>